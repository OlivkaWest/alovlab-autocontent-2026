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f4cfb3cbf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30 дней" sheetId="1" r:id="Ree920f26ca174b3a"/>
    <x:sheet xmlns:r="http://schemas.openxmlformats.org/officeDocument/2006/relationships" name="Производство" sheetId="2" r:id="Re9f2e252148b4473"/>
    <x:sheet xmlns:r="http://schemas.openxmlformats.org/officeDocument/2006/relationships" name="Результаты" sheetId="3" r:id="R8c181df6b92b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.0%"/>
    <x:numFmt numFmtId="203" formatCode="0.0"/>
    <x:numFmt numFmtId="204" formatCode="#,##0"/>
  </x:numFmts>
  <x:fonts count="4">
    <x:font>
      <x:sz val="11"/>
      <x:name val="Carlito"/>
    </x:font>
    <x:font>
      <x:sz val="11"/>
      <x:color rgb="FF242424"/>
      <x:name val="Arial"/>
    </x:font>
    <x:font>
      <x:b/>
      <x:sz val="16"/>
      <x:color rgb="FF24242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2626"/>
      </x:patternFill>
    </x:fill>
    <x:fill>
      <x:patternFill patternType="solid">
        <x:fgColor rgb="FFF5F2EE"/>
      </x:patternFill>
    </x:fill>
    <x:fill>
      <x:patternFill patternType="solid">
        <x:fgColor rgb="FFFFF0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28232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77ce0de5449cd" /><Relationship Type="http://schemas.openxmlformats.org/officeDocument/2006/relationships/theme" Target="/xl/theme/theme1.xml" Id="R7ee7a6eb487d41e2" /><Relationship Type="http://schemas.openxmlformats.org/officeDocument/2006/relationships/sharedStrings" Target="/xl/sharedStrings.xml" Id="R62040dac2e2e4652" /><Relationship Type="http://schemas.openxmlformats.org/officeDocument/2006/relationships/worksheet" Target="/xl/worksheets/sheet1.xml" Id="Ree920f26ca174b3a" /><Relationship Type="http://schemas.openxmlformats.org/officeDocument/2006/relationships/worksheet" Target="/xl/worksheets/sheet2.xml" Id="Re9f2e252148b4473" /><Relationship Type="http://schemas.openxmlformats.org/officeDocument/2006/relationships/worksheet" Target="/xl/worksheets/sheet3.xml" Id="R8c181df6b92b4361" /></Relationships>
</file>

<file path=xl/tables/table1.xml><?xml version="1.0" encoding="utf-8"?>
<x:table xmlns:x="http://schemas.openxmlformats.org/spreadsheetml/2006/main" id="1" name="ContentPlan" displayName="ContentPlan" ref="A6:N36" headerRowCount="1" totalsRowCount="0" totalsRowShown="0">
  <x:tableColumns count="14">
    <x:tableColumn id="1" name="День"/>
    <x:tableColumn id="2" name="Дата"/>
    <x:tableColumn id="3" name="Формат"/>
    <x:tableColumn id="4" name="Тема"/>
    <x:tableColumn id="5" name="Первая реплика"/>
    <x:tableColumn id="6" name="Первый кадр"/>
    <x:tableColumn id="7" name="Сюжет и действия"/>
    <x:tableColumn id="8" name="Что получает зритель"/>
    <x:tableColumn id="9" name="Одно действие"/>
    <x:tableColumn id="10" name="Что подготовить / проверить"/>
    <x:tableColumn id="11" name="Секунд"/>
    <x:tableColumn id="12" name="Пакет съёмки"/>
    <x:tableColumn id="13" name="Этап"/>
    <x:tableColumn id="14" name="Статус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oduction" displayName="Production" ref="A6:C38" headerRowCount="1" totalsRowCount="0" totalsRowShown="0">
  <x:tableColumns count="3">
    <x:tableColumn id="1" name="Блок"/>
    <x:tableColumn id="2" name="Шаг"/>
    <x:tableColumn id="3" name="Что делать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ults" displayName="Results" ref="A6:S66" headerRowCount="1" totalsRowCount="0" totalsRowShown="0">
  <x:tableColumns count="19">
    <x:tableColumn id="1" name="День"/>
    <x:tableColumn id="2" name="Плановая дата"/>
    <x:tableColumn id="3" name="Формат"/>
    <x:tableColumn id="4" name="Возраст, ч"/>
    <x:tableColumn id="5" name="Секунд фактически"/>
    <x:tableColumn id="6" name="Охват"/>
    <x:tableColumn id="7" name="Просмотры"/>
    <x:tableColumn id="8" name="Ср. просмотр, с"/>
    <x:tableColumn id="9" name="Отправки"/>
    <x:tableColumn id="10" name="Сохранения"/>
    <x:tableColumn id="11" name="Подписки из Reels"/>
    <x:tableColumn id="12" name="Визиты профиля"/>
    <x:tableColumn id="13" name="Подписки / охват"/>
    <x:tableColumn id="14" name="Отправки / охват"/>
    <x:tableColumn id="15" name="Сохранения / охват"/>
    <x:tableColumn id="16" name="Просмотр / длина"/>
    <x:tableColumn id="17" name="Визиты / охват"/>
    <x:tableColumn id="18" name="Режим публикации"/>
    <x:tableColumn id="19" name="Наблюдение / решение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98ec8b1f384b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938b3a3dec40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513f11d4e043f0" /></Relationships>
</file>

<file path=xl/worksheets/sheet1.xml><?xml version="1.0" encoding="utf-8"?>
<x:worksheet xmlns:x="http://schemas.openxmlformats.org/spreadsheetml/2006/main">
  <x:sheetPr>
    <x:tabColor rgb="FF26262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24" hidden="0" customWidth="1"/>
    <x:col min="4" max="4" width="30" hidden="0" customWidth="1"/>
    <x:col min="5" max="5" width="48" hidden="0" customWidth="1"/>
    <x:col min="6" max="6" width="43" hidden="0" customWidth="1"/>
    <x:col min="7" max="7" width="62" hidden="0" customWidth="1"/>
    <x:col min="8" max="8" width="48" hidden="0" customWidth="1"/>
    <x:col min="9" max="9" width="45" hidden="0" customWidth="1"/>
    <x:col min="10" max="10" width="58" hidden="0" customWidth="1"/>
    <x:col min="11" max="11" width="11" hidden="0" customWidth="1"/>
    <x:col min="12" max="12" width="18" hidden="0" customWidth="1"/>
    <x:col min="13" max="13" width="23" hidden="0" customWidth="1"/>
    <x:col min="14" max="14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AlovLab • Reels на 30 дней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Старт 22.10.2026 • 1 Reels в день • даты можно сдвинуть • дни 16–30 адаптируются после проверки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7" t="str">
        <x:v>День</x:v>
      </x:c>
      <x:c r="B6" s="7" t="str">
        <x:v>Дата</x:v>
      </x:c>
      <x:c r="C6" s="7" t="str">
        <x:v>Формат</x:v>
      </x:c>
      <x:c r="D6" s="7" t="str">
        <x:v>Тема</x:v>
      </x:c>
      <x:c r="E6" s="7" t="str">
        <x:v>Первая реплика</x:v>
      </x:c>
      <x:c r="F6" s="7" t="str">
        <x:v>Первый кадр</x:v>
      </x:c>
      <x:c r="G6" s="7" t="str">
        <x:v>Сюжет и действия</x:v>
      </x:c>
      <x:c r="H6" s="7" t="str">
        <x:v>Что получает зритель</x:v>
      </x:c>
      <x:c r="I6" s="7" t="str">
        <x:v>Одно действие</x:v>
      </x:c>
      <x:c r="J6" s="7" t="str">
        <x:v>Что подготовить / проверить</x:v>
      </x:c>
      <x:c r="K6" s="7" t="str">
        <x:v>Секунд</x:v>
      </x:c>
      <x:c r="L6" s="7" t="str">
        <x:v>Пакет съёмки</x:v>
      </x:c>
      <x:c r="M6" s="7" t="str">
        <x:v>Этап</x:v>
      </x:c>
      <x:c r="N6" s="7" t="str">
        <x:v>Статус</x:v>
      </x:c>
    </x:row>
    <x:row r="7" ht="116" customHeight="1">
      <x:c r="A7" s="5" t="n">
        <x:v>1</x:v>
      </x:c>
      <x:c r="B7" s="9" t="n">
        <x:v>46317</x:v>
      </x:c>
      <x:c r="C7" s="5" t="str">
        <x:v>А • Узнал себя</x:v>
      </x:c>
      <x:c r="D7" s="5" t="str">
        <x:v>Канцелярщина в речи</x:v>
      </x:c>
      <x:c r="E7" s="5" t="str">
        <x:v>Ты бы другу так голосовое записал?</x:v>
      </x:c>
      <x:c r="F7" s="5" t="str">
        <x:v>Аватар произносит одну тяжёлую фразу; стоп на слове «осуществлять».</x:v>
      </x:c>
      <x:c r="G7" s="5" t="str">
        <x:v>Дать исходную фразу → заменить абстракции действиями → озвучить обе версии одним голосом.</x:v>
      </x:c>
      <x:c r="H7" s="5" t="str">
        <x:v>Зритель слышит разницу; правило: сначала проверить речь вслух.</x:v>
      </x:c>
      <x:c r="I7" s="5" t="str">
        <x:v>Прочитай вслух первую фразу своего сценария.</x:v>
      </x:c>
      <x:c r="J7" s="5" t="str">
        <x:v>Получить две озвучки одного текста. Не имитировать сбой сервиса.</x:v>
      </x:c>
      <x:c r="K7" s="11" t="n">
        <x:v>30</x:v>
      </x:c>
      <x:c r="L7" s="5" t="str">
        <x:v>Речь</x:v>
      </x:c>
      <x:c r="M7" s="5" t="str">
        <x:v>Первичный тест</x:v>
      </x:c>
      <x:c r="N7" s="13" t="str">
        <x:v>Нужны исходники</x:v>
      </x:c>
    </x:row>
    <x:row r="8" ht="116" customHeight="1">
      <x:c r="A8" s="8" t="n">
        <x:v>2</x:v>
      </x:c>
      <x:c r="B8" s="10" t="n">
        <x:v>46318</x:v>
      </x:c>
      <x:c r="C8" s="8" t="str">
        <x:v>Б • Выбери и проверь</x:v>
      </x:c>
      <x:c r="D8" s="8" t="str">
        <x:v>Сходство между кадрами</x:v>
      </x:c>
      <x:c r="E8" s="8" t="str">
        <x:v>В каком кадре это уже другой человек?</x:v>
      </x:c>
      <x:c r="F8" s="8" t="str">
        <x:v>Два собственных кадра аватара рядом.</x:v>
      </x:c>
      <x:c r="G8" s="8" t="str">
        <x:v>Дать 2 секунды на выбор → отметить реально изменившиеся черты → показать версию ближе к исходнику.</x:v>
      </x:c>
      <x:c r="H8" s="8" t="str">
        <x:v>Сверка лица по референсу, а не по общему впечатлению.</x:v>
      </x:c>
      <x:c r="I8" s="8" t="str">
        <x:v>Сравни два соседних кадра своего ролика.</x:v>
      </x:c>
      <x:c r="J8" s="8" t="str">
        <x:v>Нужны реальный референс и две генерации с заметным различием; если дефекта нет, показать критерии без заявления об ошибке.</x:v>
      </x:c>
      <x:c r="K8" s="12" t="n">
        <x:v>30</x:v>
      </x:c>
      <x:c r="L8" s="8" t="str">
        <x:v>Внешность</x:v>
      </x:c>
      <x:c r="M8" s="8" t="str">
        <x:v>Первичный тест</x:v>
      </x:c>
      <x:c r="N8" s="13" t="str">
        <x:v>Нужны исходники</x:v>
      </x:c>
    </x:row>
    <x:row r="9" ht="116" customHeight="1">
      <x:c r="A9" s="5" t="n">
        <x:v>3</x:v>
      </x:c>
      <x:c r="B9" s="9" t="n">
        <x:v>46319</x:v>
      </x:c>
      <x:c r="C9" s="5" t="str">
        <x:v>В • Собираем результат</x:v>
      </x:c>
      <x:c r="D9" s="5" t="str">
        <x:v>Товарный микроролик</x:v>
      </x:c>
      <x:c r="E9" s="5" t="str">
        <x:v>Вот фото. А вот ролик, который из него собрали.</x:v>
      </x:c>
      <x:c r="F9" s="5" t="str">
        <x:v>Готовый ролик 2 секунды и исходная фотография.</x:v>
      </x:c>
      <x:c r="G9" s="5" t="str">
        <x:v>Исходник → один план движения → реальная генерация → короткий монтаж.</x:v>
      </x:c>
      <x:c r="H9" s="5" t="str">
        <x:v>Один законченный фрагмент; обозначить учебный пример.</x:v>
      </x:c>
      <x:c r="I9" s="5" t="str">
        <x:v>Выбери один товар для своей первой работы.</x:v>
      </x:c>
      <x:c r="J9" s="5" t="str">
        <x:v>Собственная фотография кружки или другого простого предмета; сгенерированный клип и запись процесса.</x:v>
      </x:c>
      <x:c r="K9" s="11" t="n">
        <x:v>35</x:v>
      </x:c>
      <x:c r="L9" s="5" t="str">
        <x:v>Товар</x:v>
      </x:c>
      <x:c r="M9" s="5" t="str">
        <x:v>Первичный тест</x:v>
      </x:c>
      <x:c r="N9" s="13" t="str">
        <x:v>Нужны исходники</x:v>
      </x:c>
    </x:row>
    <x:row r="10" ht="116" customHeight="1">
      <x:c r="A10" s="8" t="n">
        <x:v>4</x:v>
      </x:c>
      <x:c r="B10" s="10" t="n">
        <x:v>46320</x:v>
      </x:c>
      <x:c r="C10" s="8" t="str">
        <x:v>Б • Выбери и проверь</x:v>
      </x:c>
      <x:c r="D10" s="8" t="str">
        <x:v>Интонация аватара</x:v>
      </x:c>
      <x:c r="E10" s="8" t="str">
        <x:v>Какой голос ты бы дослушал?</x:v>
      </x:c>
      <x:c r="F10" s="8" t="str">
        <x:v>Одна реплика звучит в двух версиях с метками А и Б.</x:v>
      </x:c>
      <x:c r="G10" s="8" t="str">
        <x:v>Прослушать → показать различие пауз и ударения → объяснить свой выбор как редакционное мнение.</x:v>
      </x:c>
      <x:c r="H10" s="8" t="str">
        <x:v>Изменение слышно при одинаковом тексте.</x:v>
      </x:c>
      <x:c r="I10" s="8" t="str">
        <x:v>Напиши А или Б и что повлияло на выбор.</x:v>
      </x:c>
      <x:c r="J10" s="8" t="str">
        <x:v>Две реальные озвучки; одинаковая громкость и музыка.</x:v>
      </x:c>
      <x:c r="K10" s="12" t="n">
        <x:v>30</x:v>
      </x:c>
      <x:c r="L10" s="8" t="str">
        <x:v>Речь</x:v>
      </x:c>
      <x:c r="M10" s="8" t="str">
        <x:v>Первичный тест</x:v>
      </x:c>
      <x:c r="N10" s="13" t="str">
        <x:v>Нужны исходники</x:v>
      </x:c>
    </x:row>
    <x:row r="11" ht="116" customHeight="1">
      <x:c r="A11" s="5" t="n">
        <x:v>5</x:v>
      </x:c>
      <x:c r="B11" s="9" t="n">
        <x:v>46321</x:v>
      </x:c>
      <x:c r="C11" s="5" t="str">
        <x:v>В • Собираем результат</x:v>
      </x:c>
      <x:c r="D11" s="5" t="str">
        <x:v>Один персонаж в трёх сценах</x:v>
      </x:c>
      <x:c r="E11" s="5" t="str">
        <x:v>Три сцены. Проверяем, остался ли я собой.</x:v>
      </x:c>
      <x:c r="F11" s="5" t="str">
        <x:v>Монтаж трёх реальных генераций с одним аватаром.</x:v>
      </x:c>
      <x:c r="G11" s="5" t="str">
        <x:v>Показать референс → три сцены → сверить лицо и пропорции; признать неудачные места.</x:v>
      </x:c>
      <x:c r="H11" s="5" t="str">
        <x:v>Набор кадров с честной оценкой сходства.</x:v>
      </x:c>
      <x:c r="I11" s="5" t="str">
        <x:v>Сохрани критерии: лицо, пропорции, детали.</x:v>
      </x:c>
      <x:c r="J11" s="5" t="str">
        <x:v>Реальные референсы Ильи и три результата; не обещать гарантированного совпадения.</x:v>
      </x:c>
      <x:c r="K11" s="11" t="n">
        <x:v>35</x:v>
      </x:c>
      <x:c r="L11" s="5" t="str">
        <x:v>Внешность</x:v>
      </x:c>
      <x:c r="M11" s="5" t="str">
        <x:v>Первичный тест</x:v>
      </x:c>
      <x:c r="N11" s="13" t="str">
        <x:v>Нужны исходники</x:v>
      </x:c>
    </x:row>
    <x:row r="12" ht="116" customHeight="1">
      <x:c r="A12" s="8" t="n">
        <x:v>6</x:v>
      </x:c>
      <x:c r="B12" s="10" t="n">
        <x:v>46322</x:v>
      </x:c>
      <x:c r="C12" s="8" t="str">
        <x:v>А • Узнал себя</x:v>
      </x:c>
      <x:c r="D12" s="8" t="str">
        <x:v>Красивый, но другой товар</x:v>
      </x:c>
      <x:c r="E12" s="8" t="str">
        <x:v>Реклама красивая. Только продаёшь ты другую кружку.</x:v>
      </x:c>
      <x:c r="F12" s="8" t="str">
        <x:v>Исходник и генерация с реально изменившейся ручкой или формой.</x:v>
      </x:c>
      <x:c r="G12" s="8" t="str">
        <x:v>Показать несовпадение → уточнить сохраняемые детали → показать повторную попытку или оставшийся дефект.</x:v>
      </x:c>
      <x:c r="H12" s="8" t="str">
        <x:v>Проверка формы перед сдачей работы.</x:v>
      </x:c>
      <x:c r="I12" s="8" t="str">
        <x:v>Проверь свой товар по исходному фото.</x:v>
      </x:c>
      <x:c r="J12" s="8" t="str">
        <x:v>Пара из пакета «Товар»; если форма не менялась, тема: «Сверим, сохранился ли товар».</x:v>
      </x:c>
      <x:c r="K12" s="12" t="n">
        <x:v>30</x:v>
      </x:c>
      <x:c r="L12" s="8" t="str">
        <x:v>Товар</x:v>
      </x:c>
      <x:c r="M12" s="8" t="str">
        <x:v>Первичный тест</x:v>
      </x:c>
      <x:c r="N12" s="13" t="str">
        <x:v>Нужны исходники</x:v>
      </x:c>
    </x:row>
    <x:row r="13" ht="116" customHeight="1">
      <x:c r="A13" s="5" t="n">
        <x:v>7</x:v>
      </x:c>
      <x:c r="B13" s="9" t="n">
        <x:v>46323</x:v>
      </x:c>
      <x:c r="C13" s="5" t="str">
        <x:v>А • Узнал себя</x:v>
      </x:c>
      <x:c r="D13" s="5" t="str">
        <x:v>Слишком много в одном задании</x:v>
      </x:c>
      <x:c r="E13" s="5" t="str">
        <x:v>В один промпт запихнул целый фильм. Получилось вот это.</x:v>
      </x:c>
      <x:c r="F13" s="5" t="str">
        <x:v>Реальный перегруженный запрос рядом с его результатом.</x:v>
      </x:c>
      <x:c r="G13" s="5" t="str">
        <x:v>Показать лишние действия → оставить одно → сравнить обе попытки.</x:v>
      </x:c>
      <x:c r="H13" s="5" t="str">
        <x:v>Одно действие на короткий кадр как проверяемый подход.</x:v>
      </x:c>
      <x:c r="I13" s="5" t="str">
        <x:v>Убери из своего задания одно лишнее действие.</x:v>
      </x:c>
      <x:c r="J13" s="5" t="str">
        <x:v>Свой тест сложного и простого запроса; при равных результатах честно поменять вывод.</x:v>
      </x:c>
      <x:c r="K13" s="11" t="n">
        <x:v>35</x:v>
      </x:c>
      <x:c r="L13" s="5" t="str">
        <x:v>Движение</x:v>
      </x:c>
      <x:c r="M13" s="5" t="str">
        <x:v>Первичный тест</x:v>
      </x:c>
      <x:c r="N13" s="13" t="str">
        <x:v>Нужны исходники</x:v>
      </x:c>
    </x:row>
    <x:row r="14" ht="116" customHeight="1">
      <x:c r="A14" s="8" t="n">
        <x:v>8</x:v>
      </x:c>
      <x:c r="B14" s="10" t="n">
        <x:v>46324</x:v>
      </x:c>
      <x:c r="C14" s="8" t="str">
        <x:v>В • Собираем результат</x:v>
      </x:c>
      <x:c r="D14" s="8" t="str">
        <x:v>Из статьи в сцену</x:v>
      </x:c>
      <x:c r="E14" s="8" t="str">
        <x:v>В этом абзаце спрятан один нормальный ролик.</x:v>
      </x:c>
      <x:c r="F14" s="8" t="str">
        <x:v>Длинный собственный текст; выделяется одна конкретная мысль.</x:v>
      </x:c>
      <x:c r="G14" s="8" t="str">
        <x:v>Выбрать мысль → найти визуальный пример → написать короткую реплику → показать собранную сцену.</x:v>
      </x:c>
      <x:c r="H14" s="8" t="str">
        <x:v>Готовая короткая сцена вместо пересказа всей статьи.</x:v>
      </x:c>
      <x:c r="I14" s="8" t="str">
        <x:v>Выдели одну мысль в своём последнем посте.</x:v>
      </x:c>
      <x:c r="J14" s="8" t="str">
        <x:v>Собственный текст и снятый экран; показать фактический монтаж.</x:v>
      </x:c>
      <x:c r="K14" s="12" t="n">
        <x:v>35</x:v>
      </x:c>
      <x:c r="L14" s="8" t="str">
        <x:v>Речь</x:v>
      </x:c>
      <x:c r="M14" s="8" t="str">
        <x:v>Первичный тест</x:v>
      </x:c>
      <x:c r="N14" s="13" t="str">
        <x:v>Нужны исходники</x:v>
      </x:c>
    </x:row>
    <x:row r="15" ht="116" customHeight="1">
      <x:c r="A15" s="5" t="n">
        <x:v>9</x:v>
      </x:c>
      <x:c r="B15" s="9" t="n">
        <x:v>46325</x:v>
      </x:c>
      <x:c r="C15" s="5" t="str">
        <x:v>Б • Выбери и проверь</x:v>
      </x:c>
      <x:c r="D15" s="5" t="str">
        <x:v>Читаемость первого кадра</x:v>
      </x:c>
      <x:c r="E15" s="5" t="str">
        <x:v>Без звука понятно, о чём этот ролик?</x:v>
      </x:c>
      <x:c r="F15" s="5" t="str">
        <x:v>Два первых кадра без звука.</x:v>
      </x:c>
      <x:c r="G15" s="5" t="str">
        <x:v>Дать время выбрать → проверить, видны ли тема и проблема → показать исправленный вариант.</x:v>
      </x:c>
      <x:c r="H15" s="5" t="str">
        <x:v>Критерий понятности при выключенном звуке.</x:v>
      </x:c>
      <x:c r="I15" s="5" t="str">
        <x:v>Проверь свой первый кадр без звука.</x:v>
      </x:c>
      <x:c r="J15" s="5" t="str">
        <x:v>Два собственных монтажа одной темы; не утверждать рост удержания без статистики.</x:v>
      </x:c>
      <x:c r="K15" s="11" t="n">
        <x:v>30</x:v>
      </x:c>
      <x:c r="L15" s="5" t="str">
        <x:v>Монтаж</x:v>
      </x:c>
      <x:c r="M15" s="5" t="str">
        <x:v>Первичный тест</x:v>
      </x:c>
      <x:c r="N15" s="13" t="str">
        <x:v>Нужны исходники</x:v>
      </x:c>
    </x:row>
    <x:row r="16" ht="116" customHeight="1">
      <x:c r="A16" s="8" t="n">
        <x:v>10</x:v>
      </x:c>
      <x:c r="B16" s="10" t="n">
        <x:v>46326</x:v>
      </x:c>
      <x:c r="C16" s="8" t="str">
        <x:v>Б • Выбери и проверь</x:v>
      </x:c>
      <x:c r="D16" s="8" t="str">
        <x:v>Обещания в рекламном тексте</x:v>
      </x:c>
      <x:c r="E16" s="8" t="str">
        <x:v>Эту фразу нейросеть придумала. Клиент её не обещал.</x:v>
      </x:c>
      <x:c r="F16" s="8" t="str">
        <x:v>Учебная карточка с неподтверждённым свойством товара.</x:v>
      </x:c>
      <x:c r="G16" s="8" t="str">
        <x:v>Сверить текст с исходным описанием → убрать неподтверждённое → оставить точную формулировку.</x:v>
      </x:c>
      <x:c r="H16" s="8" t="str">
        <x:v>Факт отделён от рекламной фантазии.</x:v>
      </x:c>
      <x:c r="I16" s="8" t="str">
        <x:v>Сверь обещания в своём тексте с исходниками.</x:v>
      </x:c>
      <x:c r="J16" s="8" t="str">
        <x:v>Подготовленный учебный пример и описание товара; не приписывать его реальному клиенту.</x:v>
      </x:c>
      <x:c r="K16" s="12" t="n">
        <x:v>30</x:v>
      </x:c>
      <x:c r="L16" s="8" t="str">
        <x:v>Товар</x:v>
      </x:c>
      <x:c r="M16" s="8" t="str">
        <x:v>Первичный тест</x:v>
      </x:c>
      <x:c r="N16" s="13" t="str">
        <x:v>Нужны исходники</x:v>
      </x:c>
    </x:row>
    <x:row r="17" ht="116" customHeight="1">
      <x:c r="A17" s="5" t="n">
        <x:v>11</x:v>
      </x:c>
      <x:c r="B17" s="9" t="n">
        <x:v>46327</x:v>
      </x:c>
      <x:c r="C17" s="5" t="str">
        <x:v>А • Узнал себя</x:v>
      </x:c>
      <x:c r="D17" s="5" t="str">
        <x:v>Перегруженный экран</x:v>
      </x:c>
      <x:c r="E17" s="5" t="str">
        <x:v>Тут аватар, субтитры, кнопки. А результат где?</x:v>
      </x:c>
      <x:c r="F17" s="5" t="str">
        <x:v>Собственный намеренно перегруженный монтаж с пометкой «учебный пример».</x:v>
      </x:c>
      <x:c r="G17" s="5" t="str">
        <x:v>Убрать ненужные слои → увеличить демонстрацию → дать результату время.</x:v>
      </x:c>
      <x:c r="H17" s="5" t="str">
        <x:v>Один главный объект в кадре.</x:v>
      </x:c>
      <x:c r="I17" s="5" t="str">
        <x:v>Посмотри свой ролик на телефоне без увеличения.</x:v>
      </x:c>
      <x:c r="J17" s="5" t="str">
        <x:v>Два монтажа одного клипа; оригинальный логотип только при наличии файла.</x:v>
      </x:c>
      <x:c r="K17" s="11" t="n">
        <x:v>30</x:v>
      </x:c>
      <x:c r="L17" s="5" t="str">
        <x:v>Монтаж</x:v>
      </x:c>
      <x:c r="M17" s="5" t="str">
        <x:v>Первичный тест</x:v>
      </x:c>
      <x:c r="N17" s="13" t="str">
        <x:v>Нужны исходники</x:v>
      </x:c>
    </x:row>
    <x:row r="18" ht="116" customHeight="1">
      <x:c r="A18" s="8" t="n">
        <x:v>12</x:v>
      </x:c>
      <x:c r="B18" s="10" t="n">
        <x:v>46328</x:v>
      </x:c>
      <x:c r="C18" s="8" t="str">
        <x:v>В • Собираем результат</x:v>
      </x:c>
      <x:c r="D18" s="8" t="str">
        <x:v>Тест нового режима HeyGen</x:v>
      </x:c>
      <x:c r="E18" s="8" t="str">
        <x:v>Что он перенесёт из референса, кроме моего лица?</x:v>
      </x:c>
      <x:c r="F18" s="8" t="str">
        <x:v>Короткая пара: разрешённый референс и фактический результат HeyGen.</x:v>
      </x:c>
      <x:c r="G18" s="8" t="str">
        <x:v>Сравнить композицию, движение и смену сцен → показать удачное и слабое → назвать границу результата.</x:v>
      </x:c>
      <x:c r="H18" s="8" t="str">
        <x:v>Проверка режима на одном коротком тесте без обобщения на весь сервис.</x:v>
      </x:c>
      <x:c r="I18" s="8" t="str">
        <x:v>Что проверить следующим: движение или смену сцен?</x:v>
      </x:c>
      <x:c r="J18" s="8" t="str">
        <x:v>Проверить доступность режима в аккаунте; выполнить тест 8–12 секунд. Если недоступен: вручную пересобрать композицию и прямо это назвать.</x:v>
      </x:c>
      <x:c r="K18" s="12" t="n">
        <x:v>40</x:v>
      </x:c>
      <x:c r="L18" s="8" t="str">
        <x:v>HeyGen</x:v>
      </x:c>
      <x:c r="M18" s="8" t="str">
        <x:v>Первичный тест</x:v>
      </x:c>
      <x:c r="N18" s="13" t="str">
        <x:v>Нужны исходники</x:v>
      </x:c>
    </x:row>
    <x:row r="19" ht="116" customHeight="1">
      <x:c r="A19" s="5" t="n">
        <x:v>13</x:v>
      </x:c>
      <x:c r="B19" s="9" t="n">
        <x:v>46329</x:v>
      </x:c>
      <x:c r="C19" s="5" t="str">
        <x:v>А • Узнал себя</x:v>
      </x:c>
      <x:c r="D19" s="5" t="str">
        <x:v>Бриф без темы</x:v>
      </x:c>
      <x:c r="E19" s="5" t="str">
        <x:v>— Сделай ролик, чтобы залетел. — А про что?</x:v>
      </x:c>
      <x:c r="F19" s="5" t="str">
        <x:v>Аватар и закадровый голос автора; учебная сценка.</x:v>
      </x:c>
      <x:c r="G19" s="5" t="str">
        <x:v>Две короткие реплики → назвать аудиторию, проблему и доказательство → показать заполненный мини-бриф.</x:v>
      </x:c>
      <x:c r="H19" s="5" t="str">
        <x:v>Зритель получает три поля для постановки задачи.</x:v>
      </x:c>
      <x:c r="I19" s="5" t="str">
        <x:v>Заполни: кому, какая проблема, что покажем.</x:v>
      </x:c>
      <x:c r="J19" s="5" t="str">
        <x:v>Аватар и 2 короткие голосовые реплики; без второго персонажа и сложных жестов.</x:v>
      </x:c>
      <x:c r="K19" s="11" t="n">
        <x:v>25</x:v>
      </x:c>
      <x:c r="L19" s="5" t="str">
        <x:v>Диалог</x:v>
      </x:c>
      <x:c r="M19" s="5" t="str">
        <x:v>Первичный тест</x:v>
      </x:c>
      <x:c r="N19" s="13" t="str">
        <x:v>Нужны исходники</x:v>
      </x:c>
    </x:row>
    <x:row r="20" ht="116" customHeight="1">
      <x:c r="A20" s="8" t="n">
        <x:v>14</x:v>
      </x:c>
      <x:c r="B20" s="10" t="n">
        <x:v>46330</x:v>
      </x:c>
      <x:c r="C20" s="8" t="str">
        <x:v>Б • Выбери и проверь</x:v>
      </x:c>
      <x:c r="D20" s="8" t="str">
        <x:v>Критерии сдачи аватарного ролика</x:v>
      </x:c>
      <x:c r="E20" s="8" t="str">
        <x:v>Ты бы отправил этот ролик заказчику?</x:v>
      </x:c>
      <x:c r="F20" s="8" t="str">
        <x:v>Собственный учебный клип с одним реальным или явно постановочным дефектом.</x:v>
      </x:c>
      <x:c r="G20" s="8" t="str">
        <x:v>Проверить произношение, лицо, синхронизацию → выделить один дефект → показать исправление.</x:v>
      </x:c>
      <x:c r="H20" s="8" t="str">
        <x:v>Конкретный критерий приёмки.</x:v>
      </x:c>
      <x:c r="I20" s="8" t="str">
        <x:v>Проверь свой ролик по этим трём пунктам.</x:v>
      </x:c>
      <x:c r="J20" s="8" t="str">
        <x:v>Учебный клип; дефект и исправление должны быть видны или слышны.</x:v>
      </x:c>
      <x:c r="K20" s="12" t="n">
        <x:v>35</x:v>
      </x:c>
      <x:c r="L20" s="8" t="str">
        <x:v>HeyGen</x:v>
      </x:c>
      <x:c r="M20" s="8" t="str">
        <x:v>Первичный тест</x:v>
      </x:c>
      <x:c r="N20" s="13" t="str">
        <x:v>Нужны исходники</x:v>
      </x:c>
    </x:row>
    <x:row r="21" ht="116" customHeight="1">
      <x:c r="A21" s="5" t="n">
        <x:v>15</x:v>
      </x:c>
      <x:c r="B21" s="9" t="n">
        <x:v>46331</x:v>
      </x:c>
      <x:c r="C21" s="5" t="str">
        <x:v>В • Собираем результат</x:v>
      </x:c>
      <x:c r="D21" s="5" t="str">
        <x:v>Вертикальная реклама услуги</x:v>
      </x:c>
      <x:c r="E21" s="5" t="str">
        <x:v>Из «делаем всё» собираем понятную рекламу.</x:v>
      </x:c>
      <x:c r="F21" s="5" t="str">
        <x:v>Результат: короткий ролик об одной учебной услуге.</x:v>
      </x:c>
      <x:c r="G21" s="5" t="str">
        <x:v>Общий текст → конкретный результат услуги → один кадр доказательства → готовая сцена.</x:v>
      </x:c>
      <x:c r="H21" s="5" t="str">
        <x:v>Зритель понимает, что предлагается и кому.</x:v>
      </x:c>
      <x:c r="I21" s="5" t="str">
        <x:v>Попробуй описать одну свою услугу одной фразой.</x:v>
      </x:c>
      <x:c r="J21" s="5" t="str">
        <x:v>Учебный бриф услуги; не выдумывать отзывы, цифры и клиентов.</x:v>
      </x:c>
      <x:c r="K21" s="11" t="n">
        <x:v>35</x:v>
      </x:c>
      <x:c r="L21" s="5" t="str">
        <x:v>Услуга</x:v>
      </x:c>
      <x:c r="M21" s="5" t="str">
        <x:v>Первичный тест</x:v>
      </x:c>
      <x:c r="N21" s="13" t="str">
        <x:v>Нужны исходники</x:v>
      </x:c>
    </x:row>
    <x:row r="22" ht="116" customHeight="1">
      <x:c r="A22" s="8" t="n">
        <x:v>16</x:v>
      </x:c>
      <x:c r="B22" s="10" t="n">
        <x:v>46332</x:v>
      </x:c>
      <x:c r="C22" s="8" t="str">
        <x:v>А • Узнал себя</x:v>
      </x:c>
      <x:c r="D22" s="8" t="str">
        <x:v>Промпт на три экрана</x:v>
      </x:c>
      <x:c r="E22" s="8" t="str">
        <x:v>Промпт на три экрана. А задача всё ещё непонятна.</x:v>
      </x:c>
      <x:c r="F22" s="8" t="str">
        <x:v>Свой длинный запрос; выделяется противоречие.</x:v>
      </x:c>
      <x:c r="G22" s="8" t="str">
        <x:v>Найти конфликт требований → убрать его → выполнить уточнённый запрос.</x:v>
      </x:c>
      <x:c r="H22" s="8" t="str">
        <x:v>Ясный запрос; длина сама по себе не критерий качества.</x:v>
      </x:c>
      <x:c r="I22" s="8" t="str">
        <x:v>Найди в своём запросе два противоречащих требования.</x:v>
      </x:c>
      <x:c r="J22" s="8" t="str">
        <x:v>Собственный воспроизводимый пример; сравнить результат до и после.</x:v>
      </x:c>
      <x:c r="K22" s="12" t="n">
        <x:v>30</x:v>
      </x:c>
      <x:c r="L22" s="8" t="str">
        <x:v>Промпты</x:v>
      </x:c>
      <x:c r="M22" s="8" t="str">
        <x:v>Адаптивный план</x:v>
      </x:c>
      <x:c r="N22" s="13" t="str">
        <x:v>Нужны исходники</x:v>
      </x:c>
    </x:row>
    <x:row r="23" ht="116" customHeight="1">
      <x:c r="A23" s="5" t="n">
        <x:v>17</x:v>
      </x:c>
      <x:c r="B23" s="9" t="n">
        <x:v>46333</x:v>
      </x:c>
      <x:c r="C23" s="5" t="str">
        <x:v>Б • Выбери и проверь</x:v>
      </x:c>
      <x:c r="D23" s="5" t="str">
        <x:v>Речь под конкретного зрителя</x:v>
      </x:c>
      <x:c r="E23" s="5" t="str">
        <x:v>Один продукт. Почему эти два текста такие разные?</x:v>
      </x:c>
      <x:c r="F23" s="5" t="str">
        <x:v>Две короткие версии для разных аудиторий.</x:v>
      </x:c>
      <x:c r="G23" s="5" t="str">
        <x:v>Назвать аудитории → сравнить нужды → показать, что изменилось в аргументах.</x:v>
      </x:c>
      <x:c r="H23" s="5" t="str">
        <x:v>Задание аудитории меняет содержание, а не только тон.</x:v>
      </x:c>
      <x:c r="I23" s="5" t="str">
        <x:v>Кому ты пишешь свой следующий ролик?</x:v>
      </x:c>
      <x:c r="J23" s="5" t="str">
        <x:v>Учебный продукт и два текста; не заявлять победителя без проверки на аудитории.</x:v>
      </x:c>
      <x:c r="K23" s="11" t="n">
        <x:v>30</x:v>
      </x:c>
      <x:c r="L23" s="5" t="str">
        <x:v>Услуга</x:v>
      </x:c>
      <x:c r="M23" s="5" t="str">
        <x:v>Адаптивный план</x:v>
      </x:c>
      <x:c r="N23" s="13" t="str">
        <x:v>Нужны исходники</x:v>
      </x:c>
    </x:row>
    <x:row r="24" ht="116" customHeight="1">
      <x:c r="A24" s="8" t="n">
        <x:v>18</x:v>
      </x:c>
      <x:c r="B24" s="10" t="n">
        <x:v>46334</x:v>
      </x:c>
      <x:c r="C24" s="8" t="str">
        <x:v>В • Собираем результат</x:v>
      </x:c>
      <x:c r="D24" s="8" t="str">
        <x:v>Ролик из голосовой мысли</x:v>
      </x:c>
      <x:c r="E24" s="8" t="str">
        <x:v>Из этой голосовой собираем сценарий.</x:v>
      </x:c>
      <x:c r="F24" s="8" t="str">
        <x:v>С разрешения автора звучит фрагмент собственной записи.</x:v>
      </x:c>
      <x:c r="G24" s="8" t="str">
        <x:v>Расшифровка → одна мысль → реплики → пример первого кадра.</x:v>
      </x:c>
      <x:c r="H24" s="8" t="str">
        <x:v>Короткий сценарий с сохранённой авторской мыслью.</x:v>
      </x:c>
      <x:c r="I24" s="8" t="str">
        <x:v>Запиши одну мысль голосом без попытки говорить идеально.</x:v>
      </x:c>
      <x:c r="J24" s="8" t="str">
        <x:v>Собственная голосовая, её расшифровка, редактура и экран; не раскрывать чужую переписку.</x:v>
      </x:c>
      <x:c r="K24" s="12" t="n">
        <x:v>35</x:v>
      </x:c>
      <x:c r="L24" s="8" t="str">
        <x:v>Речь</x:v>
      </x:c>
      <x:c r="M24" s="8" t="str">
        <x:v>Адаптивный план</x:v>
      </x:c>
      <x:c r="N24" s="13" t="str">
        <x:v>Нужны исходники</x:v>
      </x:c>
    </x:row>
    <x:row r="25" ht="116" customHeight="1">
      <x:c r="A25" s="5" t="n">
        <x:v>19</x:v>
      </x:c>
      <x:c r="B25" s="9" t="n">
        <x:v>46335</x:v>
      </x:c>
      <x:c r="C25" s="5" t="str">
        <x:v>А • Узнал себя</x:v>
      </x:c>
      <x:c r="D25" s="5" t="str">
        <x:v>Смена инструмента вместо исправления</x:v>
      </x:c>
      <x:c r="E25" s="5" t="str">
        <x:v>Сменил нейросеть. Забыл исправить задание.</x:v>
      </x:c>
      <x:c r="F25" s="5" t="str">
        <x:v>Одна и та же неполная постановка задачи.</x:v>
      </x:c>
      <x:c r="G25" s="5" t="str">
        <x:v>Показать недостающие данные → добавить их → повторить в том же инструменте.</x:v>
      </x:c>
      <x:c r="H25" s="5" t="str">
        <x:v>Проверка задания до покупки следующей подписки.</x:v>
      </x:c>
      <x:c r="I25" s="5" t="str">
        <x:v>Добавь в запрос исходные данные и критерий результата.</x:v>
      </x:c>
      <x:c r="J25" s="5" t="str">
        <x:v>Один сервис; не нужно оплачивать или сравнивать несколько подписок.</x:v>
      </x:c>
      <x:c r="K25" s="11" t="n">
        <x:v>30</x:v>
      </x:c>
      <x:c r="L25" s="5" t="str">
        <x:v>Промпты</x:v>
      </x:c>
      <x:c r="M25" s="5" t="str">
        <x:v>Адаптивный план</x:v>
      </x:c>
      <x:c r="N25" s="13" t="str">
        <x:v>Нужны исходники</x:v>
      </x:c>
    </x:row>
    <x:row r="26" ht="116" customHeight="1">
      <x:c r="A26" s="8" t="n">
        <x:v>20</x:v>
      </x:c>
      <x:c r="B26" s="10" t="n">
        <x:v>46336</x:v>
      </x:c>
      <x:c r="C26" s="8" t="str">
        <x:v>Б • Выбери и проверь</x:v>
      </x:c>
      <x:c r="D26" s="8" t="str">
        <x:v>Кадрирование под телефон</x:v>
      </x:c>
      <x:c r="E26" s="8" t="str">
        <x:v>На компьютере красиво. На телефоне ничего не прочитать.</x:v>
      </x:c>
      <x:c r="F26" s="8" t="str">
        <x:v>Один ролик показан целиком в масштабе телефона.</x:v>
      </x:c>
      <x:c r="G26" s="8" t="str">
        <x:v>Выбрать важную область → увеличить её → повторно посмотреть на телефоне.</x:v>
      </x:c>
      <x:c r="H26" s="8" t="str">
        <x:v>Читаемый фрагмент интерфейса.</x:v>
      </x:c>
      <x:c r="I26" s="8" t="str">
        <x:v>Открой свой монтаж на телефоне перед публикацией.</x:v>
      </x:c>
      <x:c r="J26" s="8" t="str">
        <x:v>Собственная запись экрана; два кадрирования.</x:v>
      </x:c>
      <x:c r="K26" s="12" t="n">
        <x:v>30</x:v>
      </x:c>
      <x:c r="L26" s="8" t="str">
        <x:v>Монтаж</x:v>
      </x:c>
      <x:c r="M26" s="8" t="str">
        <x:v>Адаптивный план</x:v>
      </x:c>
      <x:c r="N26" s="13" t="str">
        <x:v>Нужны исходники</x:v>
      </x:c>
    </x:row>
    <x:row r="27" ht="116" customHeight="1">
      <x:c r="A27" s="5" t="n">
        <x:v>21</x:v>
      </x:c>
      <x:c r="B27" s="9" t="n">
        <x:v>46337</x:v>
      </x:c>
      <x:c r="C27" s="5" t="str">
        <x:v>В • Собираем результат</x:v>
      </x:c>
      <x:c r="D27" s="5" t="str">
        <x:v>Карточка товара из исходников</x:v>
      </x:c>
      <x:c r="E27" s="5" t="str">
        <x:v>Что можно собрать из одного фото и пяти фактов?</x:v>
      </x:c>
      <x:c r="F27" s="5" t="str">
        <x:v>Готовая учебная карточка рядом с исходными материалами.</x:v>
      </x:c>
      <x:c r="G27" s="5" t="str">
        <x:v>Факты → композиция → генерация фона при необходимости → проверка текста и товара.</x:v>
      </x:c>
      <x:c r="H27" s="5" t="str">
        <x:v>Проверенная карточка без придуманных свойств.</x:v>
      </x:c>
      <x:c r="I27" s="5" t="str">
        <x:v>Возьми свой товар и выпиши пять подтверждённых фактов.</x:v>
      </x:c>
      <x:c r="J27" s="5" t="str">
        <x:v>Собственное фото и факты; не обещать рост продаж.</x:v>
      </x:c>
      <x:c r="K27" s="11" t="n">
        <x:v>40</x:v>
      </x:c>
      <x:c r="L27" s="5" t="str">
        <x:v>Товар</x:v>
      </x:c>
      <x:c r="M27" s="5" t="str">
        <x:v>Адаптивный план</x:v>
      </x:c>
      <x:c r="N27" s="13" t="str">
        <x:v>Нужны исходники</x:v>
      </x:c>
    </x:row>
    <x:row r="28" ht="116" customHeight="1">
      <x:c r="A28" s="8" t="n">
        <x:v>22</x:v>
      </x:c>
      <x:c r="B28" s="10" t="n">
        <x:v>46338</x:v>
      </x:c>
      <x:c r="C28" s="8" t="str">
        <x:v>А • Узнал себя</x:v>
      </x:c>
      <x:c r="D28" s="8" t="str">
        <x:v>Избыток монтажа</x:v>
      </x:c>
      <x:c r="E28" s="8" t="str">
        <x:v>Каждые полсекунды новый эффект. Я ничего не успел увидеть.</x:v>
      </x:c>
      <x:c r="F28" s="8" t="str">
        <x:v>Короткий постановочный монтаж и остановка.</x:v>
      </x:c>
      <x:c r="G28" s="8" t="str">
        <x:v>Убрать эффекты → оставить смены по смыслу → показать обе версии.</x:v>
      </x:c>
      <x:c r="H28" s="8" t="str">
        <x:v>Результату дано время для просмотра.</x:v>
      </x:c>
      <x:c r="I28" s="8" t="str">
        <x:v>Оставь один кадр подольше и сравни.</x:v>
      </x:c>
      <x:c r="J28" s="8" t="str">
        <x:v>Учебные монтажи одного материала.</x:v>
      </x:c>
      <x:c r="K28" s="12" t="n">
        <x:v>30</x:v>
      </x:c>
      <x:c r="L28" s="8" t="str">
        <x:v>Монтаж</x:v>
      </x:c>
      <x:c r="M28" s="8" t="str">
        <x:v>Адаптивный план</x:v>
      </x:c>
      <x:c r="N28" s="13" t="str">
        <x:v>Нужны исходники</x:v>
      </x:c>
    </x:row>
    <x:row r="29" ht="116" customHeight="1">
      <x:c r="A29" s="5" t="n">
        <x:v>23</x:v>
      </x:c>
      <x:c r="B29" s="9" t="n">
        <x:v>46339</x:v>
      </x:c>
      <x:c r="C29" s="5" t="str">
        <x:v>Б • Выбери и проверь</x:v>
      </x:c>
      <x:c r="D29" s="5" t="str">
        <x:v>Задание на проверку вместо похвалы</x:v>
      </x:c>
      <x:c r="E29" s="5" t="str">
        <x:v>Нейросеть похвалила работу. Где замечания?</x:v>
      </x:c>
      <x:c r="F29" s="5" t="str">
        <x:v>Учебный ответ с общей похвалой.</x:v>
      </x:c>
      <x:c r="G29" s="5" t="str">
        <x:v>Задать критерии → запросить конкретные дефекты с примерами → проверить замечания самому.</x:v>
      </x:c>
      <x:c r="H29" s="5" t="str">
        <x:v>Проверяемый разбор вместо общего одобрения.</x:v>
      </x:c>
      <x:c r="I29" s="5" t="str">
        <x:v>Попроси указать место ошибки и способ исправления.</x:v>
      </x:c>
      <x:c r="J29" s="5" t="str">
        <x:v>Свой текст или кадр, реальный ответ; не считать оценку модели объективным судейством.</x:v>
      </x:c>
      <x:c r="K29" s="11" t="n">
        <x:v>35</x:v>
      </x:c>
      <x:c r="L29" s="5" t="str">
        <x:v>Промпты</x:v>
      </x:c>
      <x:c r="M29" s="5" t="str">
        <x:v>Адаптивный план</x:v>
      </x:c>
      <x:c r="N29" s="13" t="str">
        <x:v>Нужны исходники</x:v>
      </x:c>
    </x:row>
    <x:row r="30" ht="116" customHeight="1">
      <x:c r="A30" s="8" t="n">
        <x:v>24</x:v>
      </x:c>
      <x:c r="B30" s="10" t="n">
        <x:v>46340</x:v>
      </x:c>
      <x:c r="C30" s="8" t="str">
        <x:v>В • Собираем результат</x:v>
      </x:c>
      <x:c r="D30" s="8" t="str">
        <x:v>Одна услуга, три захода</x:v>
      </x:c>
      <x:c r="E30" s="8" t="str">
        <x:v>Три начала для одной услуги. Какое понятнее?</x:v>
      </x:c>
      <x:c r="F30" s="8" t="str">
        <x:v>Три коротких первых кадра подряд.</x:v>
      </x:c>
      <x:c r="G30" s="8" t="str">
        <x:v>Проблема → результат → вопрос; показать один и тот же продукт с разными началами.</x:v>
      </x:c>
      <x:c r="H30" s="8" t="str">
        <x:v>Три самостоятельных варианта начала.</x:v>
      </x:c>
      <x:c r="I30" s="8" t="str">
        <x:v>Какой заход выберешь и почему?</x:v>
      </x:c>
      <x:c r="J30" s="8" t="str">
        <x:v>Учебная услуга из дня 15; не называть предпочтения доказательством охватов.</x:v>
      </x:c>
      <x:c r="K30" s="12" t="n">
        <x:v>35</x:v>
      </x:c>
      <x:c r="L30" s="8" t="str">
        <x:v>Услуга</x:v>
      </x:c>
      <x:c r="M30" s="8" t="str">
        <x:v>Адаптивный план</x:v>
      </x:c>
      <x:c r="N30" s="13" t="str">
        <x:v>Нужны исходники</x:v>
      </x:c>
    </x:row>
    <x:row r="31" ht="116" customHeight="1">
      <x:c r="A31" s="5" t="n">
        <x:v>25</x:v>
      </x:c>
      <x:c r="B31" s="9" t="n">
        <x:v>46341</x:v>
      </x:c>
      <x:c r="C31" s="5" t="str">
        <x:v>А • Узнал себя</x:v>
      </x:c>
      <x:c r="D31" s="5" t="str">
        <x:v>Всё отложено до идеального аватара</x:v>
      </x:c>
      <x:c r="E31" s="5" t="str">
        <x:v>Аватар готов. А первый ролик всё ещё не вышел.</x:v>
      </x:c>
      <x:c r="F31" s="5" t="str">
        <x:v>Аватар на экране и пустой сценарный документ.</x:v>
      </x:c>
      <x:c r="G31" s="5" t="str">
        <x:v>Учебная ситуация → выбрать один вопрос аудитории → собрать короткую реплику и доказательство.</x:v>
      </x:c>
      <x:c r="H31" s="5" t="str">
        <x:v>Минимальный законченный ролик по одной задаче.</x:v>
      </x:c>
      <x:c r="I31" s="5" t="str">
        <x:v>Выбери один вопрос, на который можешь ответить примером.</x:v>
      </x:c>
      <x:c r="J31" s="5" t="str">
        <x:v>Учебная сценка; не выдавать за личную историю Ильи.</x:v>
      </x:c>
      <x:c r="K31" s="11" t="n">
        <x:v>25</x:v>
      </x:c>
      <x:c r="L31" s="5" t="str">
        <x:v>Диалог</x:v>
      </x:c>
      <x:c r="M31" s="5" t="str">
        <x:v>Адаптивный план</x:v>
      </x:c>
      <x:c r="N31" s="13" t="str">
        <x:v>Нужны исходники</x:v>
      </x:c>
    </x:row>
    <x:row r="32" ht="116" customHeight="1">
      <x:c r="A32" s="8" t="n">
        <x:v>26</x:v>
      </x:c>
      <x:c r="B32" s="10" t="n">
        <x:v>46342</x:v>
      </x:c>
      <x:c r="C32" s="8" t="str">
        <x:v>Б • Выбери и проверь</x:v>
      </x:c>
      <x:c r="D32" s="8" t="str">
        <x:v>Что показывать в портфолио</x:v>
      </x:c>
      <x:c r="E32" s="8" t="str">
        <x:v>Какая из этих работ объясняет, за что тебе платить?</x:v>
      </x:c>
      <x:c r="F32" s="8" t="str">
        <x:v>Две учебные подачи одной работы: без контекста и с задачей.</x:v>
      </x:c>
      <x:c r="G32" s="8" t="str">
        <x:v>Показать задачу, исходник, своё решение и результат → объяснить пользу этой структуры.</x:v>
      </x:c>
      <x:c r="H32" s="8" t="str">
        <x:v>Понятная презентация навыка без обещания заработка.</x:v>
      </x:c>
      <x:c r="I32" s="8" t="str">
        <x:v>Добавь к одной работе задачу и своё решение.</x:v>
      </x:c>
      <x:c r="J32" s="8" t="str">
        <x:v>Два оформления собственного примера; не использовать выдуманного заказчика.</x:v>
      </x:c>
      <x:c r="K32" s="12" t="n">
        <x:v>35</x:v>
      </x:c>
      <x:c r="L32" s="8" t="str">
        <x:v>Портфолио</x:v>
      </x:c>
      <x:c r="M32" s="8" t="str">
        <x:v>Адаптивный план</x:v>
      </x:c>
      <x:c r="N32" s="13" t="str">
        <x:v>Нужны исходники</x:v>
      </x:c>
    </x:row>
    <x:row r="33" ht="116" customHeight="1">
      <x:c r="A33" s="5" t="n">
        <x:v>27</x:v>
      </x:c>
      <x:c r="B33" s="9" t="n">
        <x:v>46343</x:v>
      </x:c>
      <x:c r="C33" s="5" t="str">
        <x:v>В • Собираем результат</x:v>
      </x:c>
      <x:c r="D33" s="5" t="str">
        <x:v>Мини-кейс для портфолио</x:v>
      </x:c>
      <x:c r="E33" s="5" t="str">
        <x:v>Вот как показать свою работу, если клиентов ещё не было.</x:v>
      </x:c>
      <x:c r="F33" s="5" t="str">
        <x:v>Учебный кейс с явной подписью «Концепт».</x:v>
      </x:c>
      <x:c r="G33" s="5" t="str">
        <x:v>Сформулировать бриф → показать этапы → назвать ограничения → собрать страницу кейса.</x:v>
      </x:c>
      <x:c r="H33" s="5" t="str">
        <x:v>Учебный кейс с честным статусом.</x:v>
      </x:c>
      <x:c r="I33" s="5" t="str">
        <x:v>Собери один концепт и подпиши его учебным.</x:v>
      </x:c>
      <x:c r="J33" s="5" t="str">
        <x:v>Материалы дня 3 или 15; не выдумывать отзыв или оплату.</x:v>
      </x:c>
      <x:c r="K33" s="11" t="n">
        <x:v>40</x:v>
      </x:c>
      <x:c r="L33" s="5" t="str">
        <x:v>Портфолио</x:v>
      </x:c>
      <x:c r="M33" s="5" t="str">
        <x:v>Адаптивный план</x:v>
      </x:c>
      <x:c r="N33" s="13" t="str">
        <x:v>Нужны исходники</x:v>
      </x:c>
    </x:row>
    <x:row r="34" ht="116" customHeight="1">
      <x:c r="A34" s="8" t="n">
        <x:v>28</x:v>
      </x:c>
      <x:c r="B34" s="10" t="n">
        <x:v>46344</x:v>
      </x:c>
      <x:c r="C34" s="8" t="str">
        <x:v>А • Узнал себя</x:v>
      </x:c>
      <x:c r="D34" s="8" t="str">
        <x:v>Вопрос аудитории</x:v>
      </x:c>
      <x:c r="E34" s="8" t="str">
        <x:v>«А если я вообще не умею монтировать?»</x:v>
      </x:c>
      <x:c r="F34" s="8" t="str">
        <x:v>Аватар и вопрос на экране.</x:v>
      </x:c>
      <x:c r="G34" s="8" t="str">
        <x:v>Если есть реальный вопрос — использовать его с разрешением/без имени; иначе обозначить типовую ситуацию → показать простую сборку из 3 фрагментов.</x:v>
      </x:c>
      <x:c r="H34" s="8" t="str">
        <x:v>Одна доступная монтажная операция.</x:v>
      </x:c>
      <x:c r="I34" s="8" t="str">
        <x:v>Попробуй собрать начало, пример и вывод.</x:v>
      </x:c>
      <x:c r="J34" s="8" t="str">
        <x:v>Собственные 3 фрагмента; вопрос не выдавать за реальный комментарий без источника.</x:v>
      </x:c>
      <x:c r="K34" s="12" t="n">
        <x:v>30</x:v>
      </x:c>
      <x:c r="L34" s="8" t="str">
        <x:v>Монтаж</x:v>
      </x:c>
      <x:c r="M34" s="8" t="str">
        <x:v>Адаптивный план</x:v>
      </x:c>
      <x:c r="N34" s="13" t="str">
        <x:v>Нужны исходники</x:v>
      </x:c>
    </x:row>
    <x:row r="35" ht="116" customHeight="1">
      <x:c r="A35" s="5" t="n">
        <x:v>29</x:v>
      </x:c>
      <x:c r="B35" s="9" t="n">
        <x:v>46345</x:v>
      </x:c>
      <x:c r="C35" s="5" t="str">
        <x:v>Б • Выбери и проверь</x:v>
      </x:c>
      <x:c r="D35" s="5" t="str">
        <x:v>Проверка готовности к публикации</x:v>
      </x:c>
      <x:c r="E35" s="5" t="str">
        <x:v>Перед публикацией я бы проверил вот этот момент.</x:v>
      </x:c>
      <x:c r="F35" s="5" t="str">
        <x:v>Реальный фрагмент из произведённых за месяц работ.</x:v>
      </x:c>
      <x:c r="G35" s="5" t="str">
        <x:v>Найти конкретный недостаток → показать исправление → объяснить критерий.</x:v>
      </x:c>
      <x:c r="H35" s="5" t="str">
        <x:v>Проверка на своём материале.</x:v>
      </x:c>
      <x:c r="I35" s="5" t="str">
        <x:v>Проверь самый слабый момент своего ролика.</x:v>
      </x:c>
      <x:c r="J35" s="5" t="str">
        <x:v>Выбрать фактический материал месяца; при отсутствии дефекта показать вариант улучшения как мнение.</x:v>
      </x:c>
      <x:c r="K35" s="11" t="n">
        <x:v>30</x:v>
      </x:c>
      <x:c r="L35" s="5" t="str">
        <x:v>Контроль</x:v>
      </x:c>
      <x:c r="M35" s="5" t="str">
        <x:v>Адаптивный план</x:v>
      </x:c>
      <x:c r="N35" s="13" t="str">
        <x:v>Нужны исходники</x:v>
      </x:c>
    </x:row>
    <x:row r="36" ht="116" customHeight="1">
      <x:c r="A36" s="8" t="n">
        <x:v>30</x:v>
      </x:c>
      <x:c r="B36" s="10" t="n">
        <x:v>46346</x:v>
      </x:c>
      <x:c r="C36" s="8" t="str">
        <x:v>В • Собираем результат</x:v>
      </x:c>
      <x:c r="D36" s="8" t="str">
        <x:v>Итоговая работа и путь дальше</x:v>
      </x:c>
      <x:c r="E36" s="8" t="str">
        <x:v>Из фото, текста и голоса собрали вот это.</x:v>
      </x:c>
      <x:c r="F36" s="8" t="str">
        <x:v>Лучший по качеству законченный пример месяца; выбор объясняется, охваты не выдумываются.</x:v>
      </x:c>
      <x:c r="G36" s="8" t="str">
        <x:v>Показать результат → назвать три использованных навыка → объяснить, чему учиться дальше.</x:v>
      </x:c>
      <x:c r="H36" s="8" t="str">
        <x:v>Связь между отдельными приёмами и готовой работой.</x:v>
      </x:c>
      <x:c r="I36" s="8" t="str">
        <x:v>Хочешь освоить такую сборку — посмотри программу обучения AlovLab в профиле.</x:v>
      </x:c>
      <x:c r="J36" s="8" t="str">
        <x:v>До выпуска проверить, что актуальная программа и ссылка действительно есть; иначе CTA: «Выбери, какой этап разобрать подробнее».</x:v>
      </x:c>
      <x:c r="K36" s="12" t="n">
        <x:v>40</x:v>
      </x:c>
      <x:c r="L36" s="8" t="str">
        <x:v>Итог</x:v>
      </x:c>
      <x:c r="M36" s="8" t="str">
        <x:v>Адаптивный план</x:v>
      </x:c>
      <x:c r="N36" s="13" t="str">
        <x:v>Нужны исходники</x:v>
      </x:c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dataValidations count="1">
    <x:dataValidation type="list" sqref="N7:N36">
      <x:formula1>"Нужны исходники,Исходники готовы,Сценарий готов,Монтаж,Проверка,Опубликовано,Перенос"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98ec8b1f384b4b"/>
  </x:tableParts>
</x:worksheet>
</file>

<file path=xl/worksheets/sheet2.xml><?xml version="1.0" encoding="utf-8"?>
<x:worksheet xmlns:x="http://schemas.openxmlformats.org/spreadsheetml/2006/main">
  <x:sheetPr>
    <x:tabColor rgb="FF26262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113" hidden="0" customWidth="1"/>
  </x:cols>
  <x:sheetData>
    <x:row r="1">
      <x:c r="A1" s="2"/>
      <x:c r="B1" s="2"/>
      <x:c r="C1" s="2"/>
    </x:row>
    <x:row r="2">
      <x:c r="A2" s="3" t="str">
        <x:v>Как вести этот месяц</x:v>
      </x:c>
      <x:c r="B2" s="2"/>
      <x:c r="C2" s="2"/>
    </x:row>
    <x:row r="3">
      <x:c r="A3" s="2" t="str">
        <x:v>Порядок производства, проверки и изменения плана</x:v>
      </x:c>
      <x:c r="B3" s="2"/>
      <x:c r="C3" s="2"/>
    </x:row>
    <x:row r="4">
      <x:c r="A4" s="4"/>
      <x:c r="B4" s="4"/>
      <x:c r="C4" s="4"/>
    </x:row>
    <x:row r="5">
      <x:c r="A5" s="2"/>
      <x:c r="B5" s="2"/>
      <x:c r="C5" s="2"/>
    </x:row>
    <x:row r="6" ht="34" customHeight="1">
      <x:c r="A6" s="7" t="str">
        <x:v>Блок</x:v>
      </x:c>
      <x:c r="B6" s="7" t="str">
        <x:v>Шаг</x:v>
      </x:c>
      <x:c r="C6" s="7" t="str">
        <x:v>Что делать</x:v>
      </x:c>
    </x:row>
    <x:row r="7" ht="74" customHeight="1">
      <x:c r="A7" s="5" t="str">
        <x:v>Цель</x:v>
      </x:c>
      <x:c r="B7" s="5" t="str">
        <x:v>Основная</x:v>
      </x:c>
      <x:c r="C7" s="5" t="str">
        <x:v>Подписки целевой аудитории: авторы и специалисты, которым нужен ИИ для контента. Дополнительная: переход к актуальному обучению AlovLab. Численный прогноз без статистики не задан.</x:v>
      </x:c>
    </x:row>
    <x:row r="8" ht="74" customHeight="1">
      <x:c r="A8" s="8" t="str">
        <x:v>Основание</x:v>
      </x:c>
      <x:c r="B8" s="8" t="str">
        <x:v>Статус исследования</x:v>
      </x:c>
      <x:c r="C8" s="8" t="str">
        <x:v>Это редакционный план и проверяемые гипотезы. Нет аудита статистики аккаунта и надёжной выборки 20–30 просмотренных конкурентных Reels. Не называть форматы доказанными лидерами.</x:v>
      </x:c>
    </x:row>
    <x:row r="9" ht="74" customHeight="1">
      <x:c r="A9" s="5" t="str">
        <x:v>Подготовка</x:v>
      </x:c>
      <x:c r="B9" s="5" t="str">
        <x:v>До дня 1</x:v>
      </x:c>
      <x:c r="C9" s="5" t="str">
        <x:v>Снять исходные показатели последних 10 сопоставимых Reels, если доступны. Проверить ссылку и содержание обучения в профиле. Подготовить первые 3 ролика до запуска. При нехватке времени сдвинуть старт.</x:v>
      </x:c>
    </x:row>
    <x:row r="10" ht="74" customHeight="1">
      <x:c r="A10" s="8" t="str">
        <x:v>Позиция</x:v>
      </x:c>
      <x:c r="B10" s="8" t="str">
        <x:v>Голос автора</x:v>
      </x:c>
      <x:c r="C10" s="8" t="str">
        <x:v>Илья показывает, как довести ИИ-работу до результата: ставит задачу, выбирает, исправляет, проверяет. Спокойная речь, умеренная ирония. Никаких обещаний дохода без фактов.</x:v>
      </x:c>
    </x:row>
    <x:row r="11" ht="74" customHeight="1">
      <x:c r="A11" s="5" t="str">
        <x:v>Формат А</x:v>
      </x:c>
      <x:c r="B11" s="5" t="str">
        <x:v>Узнал себя</x:v>
      </x:c>
      <x:c r="C11" s="5" t="str">
        <x:v>Проблема в первые секунды → причина на конкретном примере → одна правка → сравнение. Аватар в начале и конце, в середине голос поверх демонстрации. 25–35 секунд как рабочий диапазон.</x:v>
      </x:c>
    </x:row>
    <x:row r="12" ht="74" customHeight="1">
      <x:c r="A12" s="8" t="str">
        <x:v>Формат Б</x:v>
      </x:c>
      <x:c r="B12" s="8" t="str">
        <x:v>Выбери и проверь</x:v>
      </x:c>
      <x:c r="C12" s="8" t="str">
        <x:v>Два примера или один заметный дефект → короткое время на выбор → критерий → объяснение → исправление. Аватар комментирует. 25–35 секунд.</x:v>
      </x:c>
    </x:row>
    <x:row r="13" ht="74" customHeight="1">
      <x:c r="A13" s="5" t="str">
        <x:v>Формат В</x:v>
      </x:c>
      <x:c r="B13" s="5" t="str">
        <x:v>Собираем результат</x:v>
      </x:c>
      <x:c r="C13" s="5" t="str">
        <x:v>Готовая работа → исходник → 2–3 ключевых решения → результат и ограничение. Аватар связывает этапы. 30–45 секунд.</x:v>
      </x:c>
    </x:row>
    <x:row r="14" ht="74" customHeight="1">
      <x:c r="A14" s="8" t="str">
        <x:v>HeyGen</x:v>
      </x:c>
      <x:c r="B14" s="8" t="str">
        <x:v>Проверка возможностей</x:v>
      </x:c>
      <x:c r="C14" s="8" t="str">
        <x:v>До сложных сцен выполнить тест 8–12 секунд в выбранном режиме: лицо, голос, движения, смена планов. Использовать выбранный аватар и голос. При слабом движении перейти на статичный кадр и монтаж.</x:v>
      </x:c>
    </x:row>
    <x:row r="15" ht="74" customHeight="1">
      <x:c r="A15" s="5" t="str">
        <x:v>Исходники</x:v>
      </x:c>
      <x:c r="B15" s="5" t="str">
        <x:v>Пакет «Речь»</x:v>
      </x:c>
      <x:c r="C15" s="5" t="str">
        <x:v>Одна собственная голосовая, один длинный текст, две редакции монолога, две озвучки одинаковой громкости. Материал для дней 1, 4, 8, 18.</x:v>
      </x:c>
    </x:row>
    <x:row r="16" ht="74" customHeight="1">
      <x:c r="A16" s="8" t="str">
        <x:v>Исходники</x:v>
      </x:c>
      <x:c r="B16" s="8" t="str">
        <x:v>Пакет «Внешность»</x:v>
      </x:c>
      <x:c r="C16" s="8" t="str">
        <x:v>Реальные референсы Ильи, три сцены, сравнительные крупные планы. Материал для дней 2, 5. Не исправлять внешность вымышленным похожим человеком.</x:v>
      </x:c>
    </x:row>
    <x:row r="17" ht="74" customHeight="1">
      <x:c r="A17" s="5" t="str">
        <x:v>Исходники</x:v>
      </x:c>
      <x:c r="B17" s="5" t="str">
        <x:v>Пакет «Товар»</x:v>
      </x:c>
      <x:c r="C17" s="5" t="str">
        <x:v>Собственное фото простого предмета, пять фактов, генерации, исходники монтажа. Материал для дней 3, 6, 10, 21, 27. Показывать разные задачи, не повторять один ролик.</x:v>
      </x:c>
    </x:row>
    <x:row r="18" ht="74" customHeight="1">
      <x:c r="A18" s="8" t="str">
        <x:v>Исходники</x:v>
      </x:c>
      <x:c r="B18" s="8" t="str">
        <x:v>Пакет «Монтаж»</x:v>
      </x:c>
      <x:c r="C18" s="8" t="str">
        <x:v>Один клип в нескольких вариантах: крупность, титры, первый кадр, эффекты. Материал для дней 9, 11, 20, 22, 28.</x:v>
      </x:c>
    </x:row>
    <x:row r="19" ht="74" customHeight="1">
      <x:c r="A19" s="5" t="str">
        <x:v>Исходники</x:v>
      </x:c>
      <x:c r="B19" s="5" t="str">
        <x:v>Пакет «Услуга»</x:v>
      </x:c>
      <x:c r="C19" s="5" t="str">
        <x:v>Один учебный бриф услуги, две аудитории, три начала рекламы, готовая сцена. Материал для дней 15, 17, 24, 26, 30.</x:v>
      </x:c>
    </x:row>
    <x:row r="20" ht="74" customHeight="1">
      <x:c r="A20" s="8" t="str">
        <x:v>Ритм</x:v>
      </x:c>
      <x:c r="B20" s="8" t="str">
        <x:v>Каждая неделя</x:v>
      </x:c>
      <x:c r="C20" s="8" t="str">
        <x:v>Сначала получить результаты демонстраций, затем написать реплики под них. Генерировать аватар партиями по 3–4 ролика. Ежедневно проверять и публиковать один подготовленный выпуск.</x:v>
      </x:c>
    </x:row>
    <x:row r="21" ht="74" customHeight="1">
      <x:c r="A21" s="5" t="str">
        <x:v>Роли</x:v>
      </x:c>
      <x:c r="B21" s="5" t="str">
        <x:v>Сценарий</x:v>
      </x:c>
      <x:c r="C21" s="5" t="str">
        <x:v>Claude или редактор получает строку плана и реальные исходники. Готовит две первые реплики, выбранный сценарий, чистую речь и кадры. Не дописывает выдуманные результаты.</x:v>
      </x:c>
    </x:row>
    <x:row r="22" ht="74" customHeight="1">
      <x:c r="A22" s="8" t="str">
        <x:v>Роли</x:v>
      </x:c>
      <x:c r="B22" s="8" t="str">
        <x:v>Производство</x:v>
      </x:c>
      <x:c r="C22" s="8" t="str">
        <x:v>Илья подтверждает факты и формулировки. Оператор/автор получает демонстрации. HeyGen создаёт аватарные фрагменты. Монтажёр собирает и проверяет итог. Это предложенное распределение, не назначенные исполнители.</x:v>
      </x:c>
    </x:row>
    <x:row r="23" ht="74" customHeight="1">
      <x:c r="A23" s="5" t="str">
        <x:v>Проверка</x:v>
      </x:c>
      <x:c r="B23" s="5" t="str">
        <x:v>Перед публикацией</x:v>
      </x:c>
      <x:c r="C23" s="5" t="str">
        <x:v>Понятен первый кадр; есть видимый результат; речь произносится естественно; лицо и голос проверены; текст читается на телефоне; обещания подтверждены; CTA выполним.</x:v>
      </x:c>
    </x:row>
    <x:row r="24" ht="74" customHeight="1">
      <x:c r="A24" s="8" t="str">
        <x:v>Замер</x:v>
      </x:c>
      <x:c r="B24" s="8" t="str">
        <x:v>Одинаковое окно</x:v>
      </x:c>
      <x:c r="C24" s="8" t="str">
        <x:v>Вносить показатели на 72-м часу и на 7-й день после каждой публикации. Не смешивать органические и платные показы; Trial Reels учитывать отдельно. Недоступную метрику оставлять пустой, измеренный ноль вводить как 0.</x:v>
      </x:c>
    </x:row>
    <x:row r="25" ht="74" customHeight="1">
      <x:c r="A25" s="5" t="str">
        <x:v>Тест</x:v>
      </x:c>
      <x:c r="B25" s="5" t="str">
        <x:v>Дни 1–15</x:v>
      </x:c>
      <x:c r="C25" s="5" t="str">
        <x:v>По пять публикаций каждого формата. Порядок перемешан; каждый формат появляется на разных темах. Это наблюдательный тест, не доказательство причинного эффекта. Платное продвижение не включать в сравнение.</x:v>
      </x:c>
    </x:row>
    <x:row r="26" ht="74" customHeight="1">
      <x:c r="A26" s="8" t="str">
        <x:v>Решение</x:v>
      </x:c>
      <x:c r="B26" s="8" t="str">
        <x:v>День 7</x:v>
      </x:c>
      <x:c r="C26" s="8" t="str">
        <x:v>Проверить качество производства и ранние провалы удержания. Не выбирать победителя: ещё мало сопоставимых публикаций. Исправить один явный недостаток.</x:v>
      </x:c>
    </x:row>
    <x:row r="27" ht="74" customHeight="1">
      <x:c r="A27" s="5" t="str">
        <x:v>Решение</x:v>
      </x:c>
      <x:c r="B27" s="5" t="str">
        <x:v>День 15</x:v>
      </x:c>
      <x:c r="C27" s="5" t="str">
        <x:v>Сравнить дни 1–12 на одинаковом возрасте 72 часа: по четыре публикации формата. Основное: подписки/охват при наличии атрибуции. Дополнительное: отправки/охват и среднее время просмотра для близкой длительности.</x:v>
      </x:c>
    </x:row>
    <x:row r="28" ht="74" customHeight="1">
      <x:c r="A28" s="8" t="str">
        <x:v>Решение</x:v>
      </x:c>
      <x:c r="B28" s="8" t="str">
        <x:v>Дни 16–30</x:v>
      </x:c>
      <x:c r="C28" s="8" t="str">
        <x:v>Все темы заполнены. Если один формат устойчиво лучше минимум в трёх из четырёх выпусков по основному показателю и не держится на одном всплеске, перевести до трёх будущих тем в него. Это редакционное правило, не статистическая значимость. При неясности сохранить баланс.</x:v>
      </x:c>
    </x:row>
    <x:row r="29" ht="74" customHeight="1">
      <x:c r="A29" s="5" t="str">
        <x:v>Решение</x:v>
      </x:c>
      <x:c r="B29" s="5" t="str">
        <x:v>День 22</x:v>
      </x:c>
      <x:c r="C29" s="5" t="str">
        <x:v>Проверить первую половину месяца по данным за 7 дней; исключить роль одной удачной темы. Отдельно учесть время и стоимость производства.</x:v>
      </x:c>
    </x:row>
    <x:row r="30" ht="74" customHeight="1">
      <x:c r="A30" s="8" t="str">
        <x:v>Решение</x:v>
      </x:c>
      <x:c r="B30" s="8" t="str">
        <x:v>День 30 и после</x:v>
      </x:c>
      <x:c r="C30" s="8" t="str">
        <x:v>На день 30 доступен промежуточный итог. Полное окно 7 дней для последнего ролика наступит 27.11.2026. Решение: два формата продолжать, один переработать; не обещать автоматический отчёт.</x:v>
      </x:c>
    </x:row>
    <x:row r="31" ht="74" customHeight="1">
      <x:c r="A31" s="5" t="str">
        <x:v>CTA</x:v>
      </x:c>
      <x:c r="B31" s="5" t="str">
        <x:v>Переход к обучению</x:v>
      </x:c>
      <x:c r="C31" s="5" t="str">
        <x:v>Ролики дают законченную пользу. Прямое приглашение в обучение — в финале месяца; только после проверки актуальной программы и ссылки. Не обещать несуществующие файлы и автоответы по кодовым словам.</x:v>
      </x:c>
    </x:row>
    <x:row r="32" ht="74" customHeight="1">
      <x:c r="A32" s="8" t="str">
        <x:v>Резерв</x:v>
      </x:c>
      <x:c r="B32" s="8" t="str">
        <x:v>Если демонстрация не получилась</x:v>
      </x:c>
      <x:c r="C32" s="8" t="str">
        <x:v>Показать честный тест и ограничение или перенести выпуск. Не выдавать вручную сделанный результат за результат сервиса. Можно поменять даты двух готовых тем, сохранив формат в фактическом журнале.</x:v>
      </x:c>
    </x:row>
    <x:row r="33" ht="74" customHeight="1">
      <x:c r="A33" s="5" t="str">
        <x:v>Длина</x:v>
      </x:c>
      <x:c r="B33" s="5" t="str">
        <x:v>Проверка по озвучке</x:v>
      </x:c>
      <x:c r="C33" s="5" t="str">
        <x:v>Целевые секунды приблизительны. Проверять фактическим звуком; сокращать текст, не ускорять голос. Не добавлять резкие смены кадров без смысловой причины.</x:v>
      </x:c>
    </x:row>
    <x:row r="34" ht="74" customHeight="1">
      <x:c r="A34" s="8" t="str">
        <x:v>Источник</x:v>
      </x:c>
      <x:c r="B34" s="8" t="str">
        <x:v>Trender, 18.09.2026</x:v>
      </x:c>
      <x:c r="C34" s="8" t="str">
        <x:v>https://www.trndr.app/blog/reels-hook-performance-study-2026 — наблюдение о началах через узнаваемые ситуации; коммерческая нерепрезентативная выборка, модельная классификация. Не прогноз для AlovLab.</x:v>
      </x:c>
    </x:row>
    <x:row r="35" ht="74" customHeight="1">
      <x:c r="A35" s="5" t="str">
        <x:v>Источник</x:v>
      </x:c>
      <x:c r="B35" s="5" t="str">
        <x:v>Scrptly, 21.09.2026</x:v>
      </x:c>
      <x:c r="C35" s="5" t="str">
        <x:v>https://scrptly.io/learn/talking-head-video-examples — сравнение разговорных и неречевых роликов; группы различаются по длительности. Не доказательство вреда аватара.</x:v>
      </x:c>
    </x:row>
    <x:row r="36" ht="74" customHeight="1">
      <x:c r="A36" s="8" t="str">
        <x:v>Источник</x:v>
      </x:c>
      <x:c r="B36" s="8" t="str">
        <x:v>Metricool, 16.06.2026</x:v>
      </x:c>
      <x:c r="C36" s="8" t="str">
        <x:v>https://metricool.com/press-release-instagram-study-2026/ — общая роль форматов; не источник выбора конкретных сценариев.</x:v>
      </x:c>
    </x:row>
    <x:row r="37" ht="74" customHeight="1">
      <x:c r="A37" s="5" t="str">
        <x:v>Источник</x:v>
      </x:c>
      <x:c r="B37" s="5" t="str">
        <x:v>Meta, Trial Reels</x:v>
      </x:c>
      <x:c r="C37" s="5" t="str">
        <x:v>https://about.fb.com/news/2024/12/trial-reels-try-content-non-followers-first-see-what-perfoms-best/ — функция проверки на неподписчиках. Использовать только при доступности; сравнивать отдельно.</x:v>
      </x:c>
    </x:row>
    <x:row r="38" ht="74" customHeight="1">
      <x:c r="A38" s="8" t="str">
        <x:v>Источник</x:v>
      </x:c>
      <x:c r="B38" s="8" t="str">
        <x:v>Собственный разбор референса</x:v>
      </x:c>
      <x:c r="C38" s="8" t="str">
        <x:v>Предоставленный 39-секундный ролик: подключение сервиса до демонстрации результата, мелкий экран. Вывод применим к этому референсу; не переносится автоматически на все Reels.</x:v>
      </x:c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</x:sheetData>
  <x:pageMargins left="0.7" right="0.7" top="0.75" bottom="0.75" header="0.3" footer="0.3"/>
  <x:tableParts count="1">
    <x:tablePart xmlns:r="http://schemas.openxmlformats.org/officeDocument/2006/relationships" r:id="Rcf938b3a3dec401b"/>
  </x:tableParts>
</x:worksheet>
</file>

<file path=xl/worksheets/sheet3.xml><?xml version="1.0" encoding="utf-8"?>
<x:worksheet xmlns:x="http://schemas.openxmlformats.org/spreadsheetml/2006/main">
  <x:sheetPr>
    <x:tabColor rgb="FF26262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25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8" hidden="0" customWidth="1"/>
    <x:col min="13" max="13" width="19" hidden="0" customWidth="1"/>
    <x:col min="14" max="14" width="18" hidden="0" customWidth="1"/>
    <x:col min="15" max="15" width="18" hidden="0" customWidth="1"/>
    <x:col min="16" max="16" width="19" hidden="0" customWidth="1"/>
    <x:col min="17" max="17" width="18" hidden="0" customWidth="1"/>
    <x:col min="18" max="18" width="25" hidden="0" customWidth="1"/>
    <x:col min="19" max="1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Результаты публикаций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 t="str">
        <x:v>Две строки на ролик: 72 часа и 7 дней. Жёлтые поля заполняются фактическими данными. Пусто ≠ ноль.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7" t="str">
        <x:v>День</x:v>
      </x:c>
      <x:c r="B6" s="7" t="str">
        <x:v>Плановая дата</x:v>
      </x:c>
      <x:c r="C6" s="7" t="str">
        <x:v>Формат</x:v>
      </x:c>
      <x:c r="D6" s="7" t="str">
        <x:v>Возраст, ч</x:v>
      </x:c>
      <x:c r="E6" s="7" t="str">
        <x:v>Секунд фактически</x:v>
      </x:c>
      <x:c r="F6" s="7" t="str">
        <x:v>Охват</x:v>
      </x:c>
      <x:c r="G6" s="7" t="str">
        <x:v>Просмотры</x:v>
      </x:c>
      <x:c r="H6" s="7" t="str">
        <x:v>Ср. просмотр, с</x:v>
      </x:c>
      <x:c r="I6" s="7" t="str">
        <x:v>Отправки</x:v>
      </x:c>
      <x:c r="J6" s="7" t="str">
        <x:v>Сохранения</x:v>
      </x:c>
      <x:c r="K6" s="7" t="str">
        <x:v>Подписки из Reels</x:v>
      </x:c>
      <x:c r="L6" s="7" t="str">
        <x:v>Визиты профиля</x:v>
      </x:c>
      <x:c r="M6" s="7" t="str">
        <x:v>Подписки / охват</x:v>
      </x:c>
      <x:c r="N6" s="7" t="str">
        <x:v>Отправки / охват</x:v>
      </x:c>
      <x:c r="O6" s="7" t="str">
        <x:v>Сохранения / охват</x:v>
      </x:c>
      <x:c r="P6" s="7" t="str">
        <x:v>Просмотр / длина</x:v>
      </x:c>
      <x:c r="Q6" s="7" t="str">
        <x:v>Визиты / охват</x:v>
      </x:c>
      <x:c r="R6" s="7" t="str">
        <x:v>Режим публикации</x:v>
      </x:c>
      <x:c r="S6" s="7" t="str">
        <x:v>Наблюдение / решение</x:v>
      </x:c>
    </x:row>
    <x:row r="7" ht="36" customHeight="1">
      <x:c r="A7" s="5" t="n">
        <x:v>1</x:v>
      </x:c>
      <x:c r="B7" s="9" t="n">
        <x:v>46317</x:v>
      </x:c>
      <x:c r="C7" s="5" t="str">
        <x:v>А • Узнал себя</x:v>
      </x:c>
      <x:c r="D7" s="16" t="n">
        <x:v>72</x:v>
      </x:c>
      <x:c r="E7" s="17"/>
      <x:c r="F7" s="19"/>
      <x:c r="G7" s="19"/>
      <x:c r="H7" s="17"/>
      <x:c r="I7" s="19"/>
      <x:c r="J7" s="19"/>
      <x:c r="K7" s="19"/>
      <x:c r="L7" s="19"/>
      <x:c r="M7" s="14" t="str">
        <x:f>IF(OR(K7="",F7="",F7=0),"",K7/F7)</x:f>
      </x:c>
      <x:c r="N7" s="14" t="str">
        <x:f>IF(OR(I7="",F7="",F7=0),"",I7/F7)</x:f>
      </x:c>
      <x:c r="O7" s="14" t="str">
        <x:f>IF(OR(J7="",F7="",F7=0),"",J7/F7)</x:f>
      </x:c>
      <x:c r="P7" s="14" t="str">
        <x:f>IF(OR(H7="",E7="",E7=0),"",H7/E7)</x:f>
      </x:c>
      <x:c r="Q7" s="14" t="str">
        <x:f>IF(OR(L7="",F7="",F7=0),"",L7/F7)</x:f>
      </x:c>
      <x:c r="R7" s="13" t="str">
        <x:v>Органика</x:v>
      </x:c>
      <x:c r="S7" s="13"/>
    </x:row>
    <x:row r="8" ht="36" customHeight="1">
      <x:c r="A8" s="8" t="n">
        <x:v>1</x:v>
      </x:c>
      <x:c r="B8" s="10" t="n">
        <x:v>46317</x:v>
      </x:c>
      <x:c r="C8" s="8" t="str">
        <x:v>А • Узнал себя</x:v>
      </x:c>
      <x:c r="D8" s="18" t="n">
        <x:v>168</x:v>
      </x:c>
      <x:c r="E8" s="17"/>
      <x:c r="F8" s="19"/>
      <x:c r="G8" s="19"/>
      <x:c r="H8" s="17"/>
      <x:c r="I8" s="19"/>
      <x:c r="J8" s="19"/>
      <x:c r="K8" s="19"/>
      <x:c r="L8" s="19"/>
      <x:c r="M8" s="15" t="str">
        <x:f>IF(OR(K8="",F8="",F8=0),"",K8/F8)</x:f>
      </x:c>
      <x:c r="N8" s="15" t="str">
        <x:f>IF(OR(I8="",F8="",F8=0),"",I8/F8)</x:f>
      </x:c>
      <x:c r="O8" s="15" t="str">
        <x:f>IF(OR(J8="",F8="",F8=0),"",J8/F8)</x:f>
      </x:c>
      <x:c r="P8" s="15" t="str">
        <x:f>IF(OR(H8="",E8="",E8=0),"",H8/E8)</x:f>
      </x:c>
      <x:c r="Q8" s="15" t="str">
        <x:f>IF(OR(L8="",F8="",F8=0),"",L8/F8)</x:f>
      </x:c>
      <x:c r="R8" s="13" t="str">
        <x:v>Органика</x:v>
      </x:c>
      <x:c r="S8" s="13"/>
    </x:row>
    <x:row r="9" ht="36" customHeight="1">
      <x:c r="A9" s="5" t="n">
        <x:v>2</x:v>
      </x:c>
      <x:c r="B9" s="9" t="n">
        <x:v>46318</x:v>
      </x:c>
      <x:c r="C9" s="5" t="str">
        <x:v>Б • Выбери и проверь</x:v>
      </x:c>
      <x:c r="D9" s="16" t="n">
        <x:v>72</x:v>
      </x:c>
      <x:c r="E9" s="17"/>
      <x:c r="F9" s="19"/>
      <x:c r="G9" s="19"/>
      <x:c r="H9" s="17"/>
      <x:c r="I9" s="19"/>
      <x:c r="J9" s="19"/>
      <x:c r="K9" s="19"/>
      <x:c r="L9" s="19"/>
      <x:c r="M9" s="14" t="str">
        <x:f>IF(OR(K9="",F9="",F9=0),"",K9/F9)</x:f>
      </x:c>
      <x:c r="N9" s="14" t="str">
        <x:f>IF(OR(I9="",F9="",F9=0),"",I9/F9)</x:f>
      </x:c>
      <x:c r="O9" s="14" t="str">
        <x:f>IF(OR(J9="",F9="",F9=0),"",J9/F9)</x:f>
      </x:c>
      <x:c r="P9" s="14" t="str">
        <x:f>IF(OR(H9="",E9="",E9=0),"",H9/E9)</x:f>
      </x:c>
      <x:c r="Q9" s="14" t="str">
        <x:f>IF(OR(L9="",F9="",F9=0),"",L9/F9)</x:f>
      </x:c>
      <x:c r="R9" s="13" t="str">
        <x:v>Органика</x:v>
      </x:c>
      <x:c r="S9" s="13"/>
    </x:row>
    <x:row r="10" ht="36" customHeight="1">
      <x:c r="A10" s="8" t="n">
        <x:v>2</x:v>
      </x:c>
      <x:c r="B10" s="10" t="n">
        <x:v>46318</x:v>
      </x:c>
      <x:c r="C10" s="8" t="str">
        <x:v>Б • Выбери и проверь</x:v>
      </x:c>
      <x:c r="D10" s="18" t="n">
        <x:v>168</x:v>
      </x:c>
      <x:c r="E10" s="17"/>
      <x:c r="F10" s="19"/>
      <x:c r="G10" s="19"/>
      <x:c r="H10" s="17"/>
      <x:c r="I10" s="19"/>
      <x:c r="J10" s="19"/>
      <x:c r="K10" s="19"/>
      <x:c r="L10" s="19"/>
      <x:c r="M10" s="15" t="str">
        <x:f>IF(OR(K10="",F10="",F10=0),"",K10/F10)</x:f>
      </x:c>
      <x:c r="N10" s="15" t="str">
        <x:f>IF(OR(I10="",F10="",F10=0),"",I10/F10)</x:f>
      </x:c>
      <x:c r="O10" s="15" t="str">
        <x:f>IF(OR(J10="",F10="",F10=0),"",J10/F10)</x:f>
      </x:c>
      <x:c r="P10" s="15" t="str">
        <x:f>IF(OR(H10="",E10="",E10=0),"",H10/E10)</x:f>
      </x:c>
      <x:c r="Q10" s="15" t="str">
        <x:f>IF(OR(L10="",F10="",F10=0),"",L10/F10)</x:f>
      </x:c>
      <x:c r="R10" s="13" t="str">
        <x:v>Органика</x:v>
      </x:c>
      <x:c r="S10" s="13"/>
    </x:row>
    <x:row r="11" ht="36" customHeight="1">
      <x:c r="A11" s="5" t="n">
        <x:v>3</x:v>
      </x:c>
      <x:c r="B11" s="9" t="n">
        <x:v>46319</x:v>
      </x:c>
      <x:c r="C11" s="5" t="str">
        <x:v>В • Собираем результат</x:v>
      </x:c>
      <x:c r="D11" s="16" t="n">
        <x:v>72</x:v>
      </x:c>
      <x:c r="E11" s="17"/>
      <x:c r="F11" s="19"/>
      <x:c r="G11" s="19"/>
      <x:c r="H11" s="17"/>
      <x:c r="I11" s="19"/>
      <x:c r="J11" s="19"/>
      <x:c r="K11" s="19"/>
      <x:c r="L11" s="19"/>
      <x:c r="M11" s="14" t="str">
        <x:f>IF(OR(K11="",F11="",F11=0),"",K11/F11)</x:f>
      </x:c>
      <x:c r="N11" s="14" t="str">
        <x:f>IF(OR(I11="",F11="",F11=0),"",I11/F11)</x:f>
      </x:c>
      <x:c r="O11" s="14" t="str">
        <x:f>IF(OR(J11="",F11="",F11=0),"",J11/F11)</x:f>
      </x:c>
      <x:c r="P11" s="14" t="str">
        <x:f>IF(OR(H11="",E11="",E11=0),"",H11/E11)</x:f>
      </x:c>
      <x:c r="Q11" s="14" t="str">
        <x:f>IF(OR(L11="",F11="",F11=0),"",L11/F11)</x:f>
      </x:c>
      <x:c r="R11" s="13" t="str">
        <x:v>Органика</x:v>
      </x:c>
      <x:c r="S11" s="13"/>
    </x:row>
    <x:row r="12" ht="36" customHeight="1">
      <x:c r="A12" s="8" t="n">
        <x:v>3</x:v>
      </x:c>
      <x:c r="B12" s="10" t="n">
        <x:v>46319</x:v>
      </x:c>
      <x:c r="C12" s="8" t="str">
        <x:v>В • Собираем результат</x:v>
      </x:c>
      <x:c r="D12" s="18" t="n">
        <x:v>168</x:v>
      </x:c>
      <x:c r="E12" s="17"/>
      <x:c r="F12" s="19"/>
      <x:c r="G12" s="19"/>
      <x:c r="H12" s="17"/>
      <x:c r="I12" s="19"/>
      <x:c r="J12" s="19"/>
      <x:c r="K12" s="19"/>
      <x:c r="L12" s="19"/>
      <x:c r="M12" s="15" t="str">
        <x:f>IF(OR(K12="",F12="",F12=0),"",K12/F12)</x:f>
      </x:c>
      <x:c r="N12" s="15" t="str">
        <x:f>IF(OR(I12="",F12="",F12=0),"",I12/F12)</x:f>
      </x:c>
      <x:c r="O12" s="15" t="str">
        <x:f>IF(OR(J12="",F12="",F12=0),"",J12/F12)</x:f>
      </x:c>
      <x:c r="P12" s="15" t="str">
        <x:f>IF(OR(H12="",E12="",E12=0),"",H12/E12)</x:f>
      </x:c>
      <x:c r="Q12" s="15" t="str">
        <x:f>IF(OR(L12="",F12="",F12=0),"",L12/F12)</x:f>
      </x:c>
      <x:c r="R12" s="13" t="str">
        <x:v>Органика</x:v>
      </x:c>
      <x:c r="S12" s="13"/>
    </x:row>
    <x:row r="13" ht="36" customHeight="1">
      <x:c r="A13" s="5" t="n">
        <x:v>4</x:v>
      </x:c>
      <x:c r="B13" s="9" t="n">
        <x:v>46320</x:v>
      </x:c>
      <x:c r="C13" s="5" t="str">
        <x:v>Б • Выбери и проверь</x:v>
      </x:c>
      <x:c r="D13" s="16" t="n">
        <x:v>72</x:v>
      </x:c>
      <x:c r="E13" s="17"/>
      <x:c r="F13" s="19"/>
      <x:c r="G13" s="19"/>
      <x:c r="H13" s="17"/>
      <x:c r="I13" s="19"/>
      <x:c r="J13" s="19"/>
      <x:c r="K13" s="19"/>
      <x:c r="L13" s="19"/>
      <x:c r="M13" s="14" t="str">
        <x:f>IF(OR(K13="",F13="",F13=0),"",K13/F13)</x:f>
      </x:c>
      <x:c r="N13" s="14" t="str">
        <x:f>IF(OR(I13="",F13="",F13=0),"",I13/F13)</x:f>
      </x:c>
      <x:c r="O13" s="14" t="str">
        <x:f>IF(OR(J13="",F13="",F13=0),"",J13/F13)</x:f>
      </x:c>
      <x:c r="P13" s="14" t="str">
        <x:f>IF(OR(H13="",E13="",E13=0),"",H13/E13)</x:f>
      </x:c>
      <x:c r="Q13" s="14" t="str">
        <x:f>IF(OR(L13="",F13="",F13=0),"",L13/F13)</x:f>
      </x:c>
      <x:c r="R13" s="13" t="str">
        <x:v>Органика</x:v>
      </x:c>
      <x:c r="S13" s="13"/>
    </x:row>
    <x:row r="14" ht="36" customHeight="1">
      <x:c r="A14" s="8" t="n">
        <x:v>4</x:v>
      </x:c>
      <x:c r="B14" s="10" t="n">
        <x:v>46320</x:v>
      </x:c>
      <x:c r="C14" s="8" t="str">
        <x:v>Б • Выбери и проверь</x:v>
      </x:c>
      <x:c r="D14" s="18" t="n">
        <x:v>168</x:v>
      </x:c>
      <x:c r="E14" s="17"/>
      <x:c r="F14" s="19"/>
      <x:c r="G14" s="19"/>
      <x:c r="H14" s="17"/>
      <x:c r="I14" s="19"/>
      <x:c r="J14" s="19"/>
      <x:c r="K14" s="19"/>
      <x:c r="L14" s="19"/>
      <x:c r="M14" s="15" t="str">
        <x:f>IF(OR(K14="",F14="",F14=0),"",K14/F14)</x:f>
      </x:c>
      <x:c r="N14" s="15" t="str">
        <x:f>IF(OR(I14="",F14="",F14=0),"",I14/F14)</x:f>
      </x:c>
      <x:c r="O14" s="15" t="str">
        <x:f>IF(OR(J14="",F14="",F14=0),"",J14/F14)</x:f>
      </x:c>
      <x:c r="P14" s="15" t="str">
        <x:f>IF(OR(H14="",E14="",E14=0),"",H14/E14)</x:f>
      </x:c>
      <x:c r="Q14" s="15" t="str">
        <x:f>IF(OR(L14="",F14="",F14=0),"",L14/F14)</x:f>
      </x:c>
      <x:c r="R14" s="13" t="str">
        <x:v>Органика</x:v>
      </x:c>
      <x:c r="S14" s="13"/>
    </x:row>
    <x:row r="15" ht="36" customHeight="1">
      <x:c r="A15" s="5" t="n">
        <x:v>5</x:v>
      </x:c>
      <x:c r="B15" s="9" t="n">
        <x:v>46321</x:v>
      </x:c>
      <x:c r="C15" s="5" t="str">
        <x:v>В • Собираем результат</x:v>
      </x:c>
      <x:c r="D15" s="16" t="n">
        <x:v>72</x:v>
      </x:c>
      <x:c r="E15" s="17"/>
      <x:c r="F15" s="19"/>
      <x:c r="G15" s="19"/>
      <x:c r="H15" s="17"/>
      <x:c r="I15" s="19"/>
      <x:c r="J15" s="19"/>
      <x:c r="K15" s="19"/>
      <x:c r="L15" s="19"/>
      <x:c r="M15" s="14" t="str">
        <x:f>IF(OR(K15="",F15="",F15=0),"",K15/F15)</x:f>
      </x:c>
      <x:c r="N15" s="14" t="str">
        <x:f>IF(OR(I15="",F15="",F15=0),"",I15/F15)</x:f>
      </x:c>
      <x:c r="O15" s="14" t="str">
        <x:f>IF(OR(J15="",F15="",F15=0),"",J15/F15)</x:f>
      </x:c>
      <x:c r="P15" s="14" t="str">
        <x:f>IF(OR(H15="",E15="",E15=0),"",H15/E15)</x:f>
      </x:c>
      <x:c r="Q15" s="14" t="str">
        <x:f>IF(OR(L15="",F15="",F15=0),"",L15/F15)</x:f>
      </x:c>
      <x:c r="R15" s="13" t="str">
        <x:v>Органика</x:v>
      </x:c>
      <x:c r="S15" s="13"/>
    </x:row>
    <x:row r="16" ht="36" customHeight="1">
      <x:c r="A16" s="8" t="n">
        <x:v>5</x:v>
      </x:c>
      <x:c r="B16" s="10" t="n">
        <x:v>46321</x:v>
      </x:c>
      <x:c r="C16" s="8" t="str">
        <x:v>В • Собираем результат</x:v>
      </x:c>
      <x:c r="D16" s="18" t="n">
        <x:v>168</x:v>
      </x:c>
      <x:c r="E16" s="17"/>
      <x:c r="F16" s="19"/>
      <x:c r="G16" s="19"/>
      <x:c r="H16" s="17"/>
      <x:c r="I16" s="19"/>
      <x:c r="J16" s="19"/>
      <x:c r="K16" s="19"/>
      <x:c r="L16" s="19"/>
      <x:c r="M16" s="15" t="str">
        <x:f>IF(OR(K16="",F16="",F16=0),"",K16/F16)</x:f>
      </x:c>
      <x:c r="N16" s="15" t="str">
        <x:f>IF(OR(I16="",F16="",F16=0),"",I16/F16)</x:f>
      </x:c>
      <x:c r="O16" s="15" t="str">
        <x:f>IF(OR(J16="",F16="",F16=0),"",J16/F16)</x:f>
      </x:c>
      <x:c r="P16" s="15" t="str">
        <x:f>IF(OR(H16="",E16="",E16=0),"",H16/E16)</x:f>
      </x:c>
      <x:c r="Q16" s="15" t="str">
        <x:f>IF(OR(L16="",F16="",F16=0),"",L16/F16)</x:f>
      </x:c>
      <x:c r="R16" s="13" t="str">
        <x:v>Органика</x:v>
      </x:c>
      <x:c r="S16" s="13"/>
    </x:row>
    <x:row r="17" ht="36" customHeight="1">
      <x:c r="A17" s="5" t="n">
        <x:v>6</x:v>
      </x:c>
      <x:c r="B17" s="9" t="n">
        <x:v>46322</x:v>
      </x:c>
      <x:c r="C17" s="5" t="str">
        <x:v>А • Узнал себя</x:v>
      </x:c>
      <x:c r="D17" s="16" t="n">
        <x:v>72</x:v>
      </x:c>
      <x:c r="E17" s="17"/>
      <x:c r="F17" s="19"/>
      <x:c r="G17" s="19"/>
      <x:c r="H17" s="17"/>
      <x:c r="I17" s="19"/>
      <x:c r="J17" s="19"/>
      <x:c r="K17" s="19"/>
      <x:c r="L17" s="19"/>
      <x:c r="M17" s="14" t="str">
        <x:f>IF(OR(K17="",F17="",F17=0),"",K17/F17)</x:f>
      </x:c>
      <x:c r="N17" s="14" t="str">
        <x:f>IF(OR(I17="",F17="",F17=0),"",I17/F17)</x:f>
      </x:c>
      <x:c r="O17" s="14" t="str">
        <x:f>IF(OR(J17="",F17="",F17=0),"",J17/F17)</x:f>
      </x:c>
      <x:c r="P17" s="14" t="str">
        <x:f>IF(OR(H17="",E17="",E17=0),"",H17/E17)</x:f>
      </x:c>
      <x:c r="Q17" s="14" t="str">
        <x:f>IF(OR(L17="",F17="",F17=0),"",L17/F17)</x:f>
      </x:c>
      <x:c r="R17" s="13" t="str">
        <x:v>Органика</x:v>
      </x:c>
      <x:c r="S17" s="13"/>
    </x:row>
    <x:row r="18" ht="36" customHeight="1">
      <x:c r="A18" s="8" t="n">
        <x:v>6</x:v>
      </x:c>
      <x:c r="B18" s="10" t="n">
        <x:v>46322</x:v>
      </x:c>
      <x:c r="C18" s="8" t="str">
        <x:v>А • Узнал себя</x:v>
      </x:c>
      <x:c r="D18" s="18" t="n">
        <x:v>168</x:v>
      </x:c>
      <x:c r="E18" s="17"/>
      <x:c r="F18" s="19"/>
      <x:c r="G18" s="19"/>
      <x:c r="H18" s="17"/>
      <x:c r="I18" s="19"/>
      <x:c r="J18" s="19"/>
      <x:c r="K18" s="19"/>
      <x:c r="L18" s="19"/>
      <x:c r="M18" s="15" t="str">
        <x:f>IF(OR(K18="",F18="",F18=0),"",K18/F18)</x:f>
      </x:c>
      <x:c r="N18" s="15" t="str">
        <x:f>IF(OR(I18="",F18="",F18=0),"",I18/F18)</x:f>
      </x:c>
      <x:c r="O18" s="15" t="str">
        <x:f>IF(OR(J18="",F18="",F18=0),"",J18/F18)</x:f>
      </x:c>
      <x:c r="P18" s="15" t="str">
        <x:f>IF(OR(H18="",E18="",E18=0),"",H18/E18)</x:f>
      </x:c>
      <x:c r="Q18" s="15" t="str">
        <x:f>IF(OR(L18="",F18="",F18=0),"",L18/F18)</x:f>
      </x:c>
      <x:c r="R18" s="13" t="str">
        <x:v>Органика</x:v>
      </x:c>
      <x:c r="S18" s="13"/>
    </x:row>
    <x:row r="19" ht="36" customHeight="1">
      <x:c r="A19" s="5" t="n">
        <x:v>7</x:v>
      </x:c>
      <x:c r="B19" s="9" t="n">
        <x:v>46323</x:v>
      </x:c>
      <x:c r="C19" s="5" t="str">
        <x:v>А • Узнал себя</x:v>
      </x:c>
      <x:c r="D19" s="16" t="n">
        <x:v>72</x:v>
      </x:c>
      <x:c r="E19" s="17"/>
      <x:c r="F19" s="19"/>
      <x:c r="G19" s="19"/>
      <x:c r="H19" s="17"/>
      <x:c r="I19" s="19"/>
      <x:c r="J19" s="19"/>
      <x:c r="K19" s="19"/>
      <x:c r="L19" s="19"/>
      <x:c r="M19" s="14" t="str">
        <x:f>IF(OR(K19="",F19="",F19=0),"",K19/F19)</x:f>
      </x:c>
      <x:c r="N19" s="14" t="str">
        <x:f>IF(OR(I19="",F19="",F19=0),"",I19/F19)</x:f>
      </x:c>
      <x:c r="O19" s="14" t="str">
        <x:f>IF(OR(J19="",F19="",F19=0),"",J19/F19)</x:f>
      </x:c>
      <x:c r="P19" s="14" t="str">
        <x:f>IF(OR(H19="",E19="",E19=0),"",H19/E19)</x:f>
      </x:c>
      <x:c r="Q19" s="14" t="str">
        <x:f>IF(OR(L19="",F19="",F19=0),"",L19/F19)</x:f>
      </x:c>
      <x:c r="R19" s="13" t="str">
        <x:v>Органика</x:v>
      </x:c>
      <x:c r="S19" s="13"/>
    </x:row>
    <x:row r="20" ht="36" customHeight="1">
      <x:c r="A20" s="8" t="n">
        <x:v>7</x:v>
      </x:c>
      <x:c r="B20" s="10" t="n">
        <x:v>46323</x:v>
      </x:c>
      <x:c r="C20" s="8" t="str">
        <x:v>А • Узнал себя</x:v>
      </x:c>
      <x:c r="D20" s="18" t="n">
        <x:v>168</x:v>
      </x:c>
      <x:c r="E20" s="17"/>
      <x:c r="F20" s="19"/>
      <x:c r="G20" s="19"/>
      <x:c r="H20" s="17"/>
      <x:c r="I20" s="19"/>
      <x:c r="J20" s="19"/>
      <x:c r="K20" s="19"/>
      <x:c r="L20" s="19"/>
      <x:c r="M20" s="15" t="str">
        <x:f>IF(OR(K20="",F20="",F20=0),"",K20/F20)</x:f>
      </x:c>
      <x:c r="N20" s="15" t="str">
        <x:f>IF(OR(I20="",F20="",F20=0),"",I20/F20)</x:f>
      </x:c>
      <x:c r="O20" s="15" t="str">
        <x:f>IF(OR(J20="",F20="",F20=0),"",J20/F20)</x:f>
      </x:c>
      <x:c r="P20" s="15" t="str">
        <x:f>IF(OR(H20="",E20="",E20=0),"",H20/E20)</x:f>
      </x:c>
      <x:c r="Q20" s="15" t="str">
        <x:f>IF(OR(L20="",F20="",F20=0),"",L20/F20)</x:f>
      </x:c>
      <x:c r="R20" s="13" t="str">
        <x:v>Органика</x:v>
      </x:c>
      <x:c r="S20" s="13"/>
    </x:row>
    <x:row r="21" ht="36" customHeight="1">
      <x:c r="A21" s="5" t="n">
        <x:v>8</x:v>
      </x:c>
      <x:c r="B21" s="9" t="n">
        <x:v>46324</x:v>
      </x:c>
      <x:c r="C21" s="5" t="str">
        <x:v>В • Собираем результат</x:v>
      </x:c>
      <x:c r="D21" s="16" t="n">
        <x:v>72</x:v>
      </x:c>
      <x:c r="E21" s="17"/>
      <x:c r="F21" s="19"/>
      <x:c r="G21" s="19"/>
      <x:c r="H21" s="17"/>
      <x:c r="I21" s="19"/>
      <x:c r="J21" s="19"/>
      <x:c r="K21" s="19"/>
      <x:c r="L21" s="19"/>
      <x:c r="M21" s="14" t="str">
        <x:f>IF(OR(K21="",F21="",F21=0),"",K21/F21)</x:f>
      </x:c>
      <x:c r="N21" s="14" t="str">
        <x:f>IF(OR(I21="",F21="",F21=0),"",I21/F21)</x:f>
      </x:c>
      <x:c r="O21" s="14" t="str">
        <x:f>IF(OR(J21="",F21="",F21=0),"",J21/F21)</x:f>
      </x:c>
      <x:c r="P21" s="14" t="str">
        <x:f>IF(OR(H21="",E21="",E21=0),"",H21/E21)</x:f>
      </x:c>
      <x:c r="Q21" s="14" t="str">
        <x:f>IF(OR(L21="",F21="",F21=0),"",L21/F21)</x:f>
      </x:c>
      <x:c r="R21" s="13" t="str">
        <x:v>Органика</x:v>
      </x:c>
      <x:c r="S21" s="13"/>
    </x:row>
    <x:row r="22" ht="36" customHeight="1">
      <x:c r="A22" s="8" t="n">
        <x:v>8</x:v>
      </x:c>
      <x:c r="B22" s="10" t="n">
        <x:v>46324</x:v>
      </x:c>
      <x:c r="C22" s="8" t="str">
        <x:v>В • Собираем результат</x:v>
      </x:c>
      <x:c r="D22" s="18" t="n">
        <x:v>168</x:v>
      </x:c>
      <x:c r="E22" s="17"/>
      <x:c r="F22" s="19"/>
      <x:c r="G22" s="19"/>
      <x:c r="H22" s="17"/>
      <x:c r="I22" s="19"/>
      <x:c r="J22" s="19"/>
      <x:c r="K22" s="19"/>
      <x:c r="L22" s="19"/>
      <x:c r="M22" s="15" t="str">
        <x:f>IF(OR(K22="",F22="",F22=0),"",K22/F22)</x:f>
      </x:c>
      <x:c r="N22" s="15" t="str">
        <x:f>IF(OR(I22="",F22="",F22=0),"",I22/F22)</x:f>
      </x:c>
      <x:c r="O22" s="15" t="str">
        <x:f>IF(OR(J22="",F22="",F22=0),"",J22/F22)</x:f>
      </x:c>
      <x:c r="P22" s="15" t="str">
        <x:f>IF(OR(H22="",E22="",E22=0),"",H22/E22)</x:f>
      </x:c>
      <x:c r="Q22" s="15" t="str">
        <x:f>IF(OR(L22="",F22="",F22=0),"",L22/F22)</x:f>
      </x:c>
      <x:c r="R22" s="13" t="str">
        <x:v>Органика</x:v>
      </x:c>
      <x:c r="S22" s="13"/>
    </x:row>
    <x:row r="23" ht="36" customHeight="1">
      <x:c r="A23" s="5" t="n">
        <x:v>9</x:v>
      </x:c>
      <x:c r="B23" s="9" t="n">
        <x:v>46325</x:v>
      </x:c>
      <x:c r="C23" s="5" t="str">
        <x:v>Б • Выбери и проверь</x:v>
      </x:c>
      <x:c r="D23" s="16" t="n">
        <x:v>72</x:v>
      </x:c>
      <x:c r="E23" s="17"/>
      <x:c r="F23" s="19"/>
      <x:c r="G23" s="19"/>
      <x:c r="H23" s="17"/>
      <x:c r="I23" s="19"/>
      <x:c r="J23" s="19"/>
      <x:c r="K23" s="19"/>
      <x:c r="L23" s="19"/>
      <x:c r="M23" s="14" t="str">
        <x:f>IF(OR(K23="",F23="",F23=0),"",K23/F23)</x:f>
      </x:c>
      <x:c r="N23" s="14" t="str">
        <x:f>IF(OR(I23="",F23="",F23=0),"",I23/F23)</x:f>
      </x:c>
      <x:c r="O23" s="14" t="str">
        <x:f>IF(OR(J23="",F23="",F23=0),"",J23/F23)</x:f>
      </x:c>
      <x:c r="P23" s="14" t="str">
        <x:f>IF(OR(H23="",E23="",E23=0),"",H23/E23)</x:f>
      </x:c>
      <x:c r="Q23" s="14" t="str">
        <x:f>IF(OR(L23="",F23="",F23=0),"",L23/F23)</x:f>
      </x:c>
      <x:c r="R23" s="13" t="str">
        <x:v>Органика</x:v>
      </x:c>
      <x:c r="S23" s="13"/>
    </x:row>
    <x:row r="24" ht="36" customHeight="1">
      <x:c r="A24" s="8" t="n">
        <x:v>9</x:v>
      </x:c>
      <x:c r="B24" s="10" t="n">
        <x:v>46325</x:v>
      </x:c>
      <x:c r="C24" s="8" t="str">
        <x:v>Б • Выбери и проверь</x:v>
      </x:c>
      <x:c r="D24" s="18" t="n">
        <x:v>168</x:v>
      </x:c>
      <x:c r="E24" s="17"/>
      <x:c r="F24" s="19"/>
      <x:c r="G24" s="19"/>
      <x:c r="H24" s="17"/>
      <x:c r="I24" s="19"/>
      <x:c r="J24" s="19"/>
      <x:c r="K24" s="19"/>
      <x:c r="L24" s="19"/>
      <x:c r="M24" s="15" t="str">
        <x:f>IF(OR(K24="",F24="",F24=0),"",K24/F24)</x:f>
      </x:c>
      <x:c r="N24" s="15" t="str">
        <x:f>IF(OR(I24="",F24="",F24=0),"",I24/F24)</x:f>
      </x:c>
      <x:c r="O24" s="15" t="str">
        <x:f>IF(OR(J24="",F24="",F24=0),"",J24/F24)</x:f>
      </x:c>
      <x:c r="P24" s="15" t="str">
        <x:f>IF(OR(H24="",E24="",E24=0),"",H24/E24)</x:f>
      </x:c>
      <x:c r="Q24" s="15" t="str">
        <x:f>IF(OR(L24="",F24="",F24=0),"",L24/F24)</x:f>
      </x:c>
      <x:c r="R24" s="13" t="str">
        <x:v>Органика</x:v>
      </x:c>
      <x:c r="S24" s="13"/>
    </x:row>
    <x:row r="25" ht="36" customHeight="1">
      <x:c r="A25" s="5" t="n">
        <x:v>10</x:v>
      </x:c>
      <x:c r="B25" s="9" t="n">
        <x:v>46326</x:v>
      </x:c>
      <x:c r="C25" s="5" t="str">
        <x:v>Б • Выбери и проверь</x:v>
      </x:c>
      <x:c r="D25" s="16" t="n">
        <x:v>72</x:v>
      </x:c>
      <x:c r="E25" s="17"/>
      <x:c r="F25" s="19"/>
      <x:c r="G25" s="19"/>
      <x:c r="H25" s="17"/>
      <x:c r="I25" s="19"/>
      <x:c r="J25" s="19"/>
      <x:c r="K25" s="19"/>
      <x:c r="L25" s="19"/>
      <x:c r="M25" s="14" t="str">
        <x:f>IF(OR(K25="",F25="",F25=0),"",K25/F25)</x:f>
      </x:c>
      <x:c r="N25" s="14" t="str">
        <x:f>IF(OR(I25="",F25="",F25=0),"",I25/F25)</x:f>
      </x:c>
      <x:c r="O25" s="14" t="str">
        <x:f>IF(OR(J25="",F25="",F25=0),"",J25/F25)</x:f>
      </x:c>
      <x:c r="P25" s="14" t="str">
        <x:f>IF(OR(H25="",E25="",E25=0),"",H25/E25)</x:f>
      </x:c>
      <x:c r="Q25" s="14" t="str">
        <x:f>IF(OR(L25="",F25="",F25=0),"",L25/F25)</x:f>
      </x:c>
      <x:c r="R25" s="13" t="str">
        <x:v>Органика</x:v>
      </x:c>
      <x:c r="S25" s="13"/>
    </x:row>
    <x:row r="26" ht="36" customHeight="1">
      <x:c r="A26" s="8" t="n">
        <x:v>10</x:v>
      </x:c>
      <x:c r="B26" s="10" t="n">
        <x:v>46326</x:v>
      </x:c>
      <x:c r="C26" s="8" t="str">
        <x:v>Б • Выбери и проверь</x:v>
      </x:c>
      <x:c r="D26" s="18" t="n">
        <x:v>168</x:v>
      </x:c>
      <x:c r="E26" s="17"/>
      <x:c r="F26" s="19"/>
      <x:c r="G26" s="19"/>
      <x:c r="H26" s="17"/>
      <x:c r="I26" s="19"/>
      <x:c r="J26" s="19"/>
      <x:c r="K26" s="19"/>
      <x:c r="L26" s="19"/>
      <x:c r="M26" s="15" t="str">
        <x:f>IF(OR(K26="",F26="",F26=0),"",K26/F26)</x:f>
      </x:c>
      <x:c r="N26" s="15" t="str">
        <x:f>IF(OR(I26="",F26="",F26=0),"",I26/F26)</x:f>
      </x:c>
      <x:c r="O26" s="15" t="str">
        <x:f>IF(OR(J26="",F26="",F26=0),"",J26/F26)</x:f>
      </x:c>
      <x:c r="P26" s="15" t="str">
        <x:f>IF(OR(H26="",E26="",E26=0),"",H26/E26)</x:f>
      </x:c>
      <x:c r="Q26" s="15" t="str">
        <x:f>IF(OR(L26="",F26="",F26=0),"",L26/F26)</x:f>
      </x:c>
      <x:c r="R26" s="13" t="str">
        <x:v>Органика</x:v>
      </x:c>
      <x:c r="S26" s="13"/>
    </x:row>
    <x:row r="27" ht="36" customHeight="1">
      <x:c r="A27" s="5" t="n">
        <x:v>11</x:v>
      </x:c>
      <x:c r="B27" s="9" t="n">
        <x:v>46327</x:v>
      </x:c>
      <x:c r="C27" s="5" t="str">
        <x:v>А • Узнал себя</x:v>
      </x:c>
      <x:c r="D27" s="16" t="n">
        <x:v>72</x:v>
      </x:c>
      <x:c r="E27" s="17"/>
      <x:c r="F27" s="19"/>
      <x:c r="G27" s="19"/>
      <x:c r="H27" s="17"/>
      <x:c r="I27" s="19"/>
      <x:c r="J27" s="19"/>
      <x:c r="K27" s="19"/>
      <x:c r="L27" s="19"/>
      <x:c r="M27" s="14" t="str">
        <x:f>IF(OR(K27="",F27="",F27=0),"",K27/F27)</x:f>
      </x:c>
      <x:c r="N27" s="14" t="str">
        <x:f>IF(OR(I27="",F27="",F27=0),"",I27/F27)</x:f>
      </x:c>
      <x:c r="O27" s="14" t="str">
        <x:f>IF(OR(J27="",F27="",F27=0),"",J27/F27)</x:f>
      </x:c>
      <x:c r="P27" s="14" t="str">
        <x:f>IF(OR(H27="",E27="",E27=0),"",H27/E27)</x:f>
      </x:c>
      <x:c r="Q27" s="14" t="str">
        <x:f>IF(OR(L27="",F27="",F27=0),"",L27/F27)</x:f>
      </x:c>
      <x:c r="R27" s="13" t="str">
        <x:v>Органика</x:v>
      </x:c>
      <x:c r="S27" s="13"/>
    </x:row>
    <x:row r="28" ht="36" customHeight="1">
      <x:c r="A28" s="8" t="n">
        <x:v>11</x:v>
      </x:c>
      <x:c r="B28" s="10" t="n">
        <x:v>46327</x:v>
      </x:c>
      <x:c r="C28" s="8" t="str">
        <x:v>А • Узнал себя</x:v>
      </x:c>
      <x:c r="D28" s="18" t="n">
        <x:v>168</x:v>
      </x:c>
      <x:c r="E28" s="17"/>
      <x:c r="F28" s="19"/>
      <x:c r="G28" s="19"/>
      <x:c r="H28" s="17"/>
      <x:c r="I28" s="19"/>
      <x:c r="J28" s="19"/>
      <x:c r="K28" s="19"/>
      <x:c r="L28" s="19"/>
      <x:c r="M28" s="15" t="str">
        <x:f>IF(OR(K28="",F28="",F28=0),"",K28/F28)</x:f>
      </x:c>
      <x:c r="N28" s="15" t="str">
        <x:f>IF(OR(I28="",F28="",F28=0),"",I28/F28)</x:f>
      </x:c>
      <x:c r="O28" s="15" t="str">
        <x:f>IF(OR(J28="",F28="",F28=0),"",J28/F28)</x:f>
      </x:c>
      <x:c r="P28" s="15" t="str">
        <x:f>IF(OR(H28="",E28="",E28=0),"",H28/E28)</x:f>
      </x:c>
      <x:c r="Q28" s="15" t="str">
        <x:f>IF(OR(L28="",F28="",F28=0),"",L28/F28)</x:f>
      </x:c>
      <x:c r="R28" s="13" t="str">
        <x:v>Органика</x:v>
      </x:c>
      <x:c r="S28" s="13"/>
    </x:row>
    <x:row r="29" ht="36" customHeight="1">
      <x:c r="A29" s="5" t="n">
        <x:v>12</x:v>
      </x:c>
      <x:c r="B29" s="9" t="n">
        <x:v>46328</x:v>
      </x:c>
      <x:c r="C29" s="5" t="str">
        <x:v>В • Собираем результат</x:v>
      </x:c>
      <x:c r="D29" s="16" t="n">
        <x:v>72</x:v>
      </x:c>
      <x:c r="E29" s="17"/>
      <x:c r="F29" s="19"/>
      <x:c r="G29" s="19"/>
      <x:c r="H29" s="17"/>
      <x:c r="I29" s="19"/>
      <x:c r="J29" s="19"/>
      <x:c r="K29" s="19"/>
      <x:c r="L29" s="19"/>
      <x:c r="M29" s="14" t="str">
        <x:f>IF(OR(K29="",F29="",F29=0),"",K29/F29)</x:f>
      </x:c>
      <x:c r="N29" s="14" t="str">
        <x:f>IF(OR(I29="",F29="",F29=0),"",I29/F29)</x:f>
      </x:c>
      <x:c r="O29" s="14" t="str">
        <x:f>IF(OR(J29="",F29="",F29=0),"",J29/F29)</x:f>
      </x:c>
      <x:c r="P29" s="14" t="str">
        <x:f>IF(OR(H29="",E29="",E29=0),"",H29/E29)</x:f>
      </x:c>
      <x:c r="Q29" s="14" t="str">
        <x:f>IF(OR(L29="",F29="",F29=0),"",L29/F29)</x:f>
      </x:c>
      <x:c r="R29" s="13" t="str">
        <x:v>Органика</x:v>
      </x:c>
      <x:c r="S29" s="13"/>
    </x:row>
    <x:row r="30" ht="36" customHeight="1">
      <x:c r="A30" s="8" t="n">
        <x:v>12</x:v>
      </x:c>
      <x:c r="B30" s="10" t="n">
        <x:v>46328</x:v>
      </x:c>
      <x:c r="C30" s="8" t="str">
        <x:v>В • Собираем результат</x:v>
      </x:c>
      <x:c r="D30" s="18" t="n">
        <x:v>168</x:v>
      </x:c>
      <x:c r="E30" s="17"/>
      <x:c r="F30" s="19"/>
      <x:c r="G30" s="19"/>
      <x:c r="H30" s="17"/>
      <x:c r="I30" s="19"/>
      <x:c r="J30" s="19"/>
      <x:c r="K30" s="19"/>
      <x:c r="L30" s="19"/>
      <x:c r="M30" s="15" t="str">
        <x:f>IF(OR(K30="",F30="",F30=0),"",K30/F30)</x:f>
      </x:c>
      <x:c r="N30" s="15" t="str">
        <x:f>IF(OR(I30="",F30="",F30=0),"",I30/F30)</x:f>
      </x:c>
      <x:c r="O30" s="15" t="str">
        <x:f>IF(OR(J30="",F30="",F30=0),"",J30/F30)</x:f>
      </x:c>
      <x:c r="P30" s="15" t="str">
        <x:f>IF(OR(H30="",E30="",E30=0),"",H30/E30)</x:f>
      </x:c>
      <x:c r="Q30" s="15" t="str">
        <x:f>IF(OR(L30="",F30="",F30=0),"",L30/F30)</x:f>
      </x:c>
      <x:c r="R30" s="13" t="str">
        <x:v>Органика</x:v>
      </x:c>
      <x:c r="S30" s="13"/>
    </x:row>
    <x:row r="31" ht="36" customHeight="1">
      <x:c r="A31" s="5" t="n">
        <x:v>13</x:v>
      </x:c>
      <x:c r="B31" s="9" t="n">
        <x:v>46329</x:v>
      </x:c>
      <x:c r="C31" s="5" t="str">
        <x:v>А • Узнал себя</x:v>
      </x:c>
      <x:c r="D31" s="16" t="n">
        <x:v>72</x:v>
      </x:c>
      <x:c r="E31" s="17"/>
      <x:c r="F31" s="19"/>
      <x:c r="G31" s="19"/>
      <x:c r="H31" s="17"/>
      <x:c r="I31" s="19"/>
      <x:c r="J31" s="19"/>
      <x:c r="K31" s="19"/>
      <x:c r="L31" s="19"/>
      <x:c r="M31" s="14" t="str">
        <x:f>IF(OR(K31="",F31="",F31=0),"",K31/F31)</x:f>
      </x:c>
      <x:c r="N31" s="14" t="str">
        <x:f>IF(OR(I31="",F31="",F31=0),"",I31/F31)</x:f>
      </x:c>
      <x:c r="O31" s="14" t="str">
        <x:f>IF(OR(J31="",F31="",F31=0),"",J31/F31)</x:f>
      </x:c>
      <x:c r="P31" s="14" t="str">
        <x:f>IF(OR(H31="",E31="",E31=0),"",H31/E31)</x:f>
      </x:c>
      <x:c r="Q31" s="14" t="str">
        <x:f>IF(OR(L31="",F31="",F31=0),"",L31/F31)</x:f>
      </x:c>
      <x:c r="R31" s="13" t="str">
        <x:v>Органика</x:v>
      </x:c>
      <x:c r="S31" s="13"/>
    </x:row>
    <x:row r="32" ht="36" customHeight="1">
      <x:c r="A32" s="8" t="n">
        <x:v>13</x:v>
      </x:c>
      <x:c r="B32" s="10" t="n">
        <x:v>46329</x:v>
      </x:c>
      <x:c r="C32" s="8" t="str">
        <x:v>А • Узнал себя</x:v>
      </x:c>
      <x:c r="D32" s="18" t="n">
        <x:v>168</x:v>
      </x:c>
      <x:c r="E32" s="17"/>
      <x:c r="F32" s="19"/>
      <x:c r="G32" s="19"/>
      <x:c r="H32" s="17"/>
      <x:c r="I32" s="19"/>
      <x:c r="J32" s="19"/>
      <x:c r="K32" s="19"/>
      <x:c r="L32" s="19"/>
      <x:c r="M32" s="15" t="str">
        <x:f>IF(OR(K32="",F32="",F32=0),"",K32/F32)</x:f>
      </x:c>
      <x:c r="N32" s="15" t="str">
        <x:f>IF(OR(I32="",F32="",F32=0),"",I32/F32)</x:f>
      </x:c>
      <x:c r="O32" s="15" t="str">
        <x:f>IF(OR(J32="",F32="",F32=0),"",J32/F32)</x:f>
      </x:c>
      <x:c r="P32" s="15" t="str">
        <x:f>IF(OR(H32="",E32="",E32=0),"",H32/E32)</x:f>
      </x:c>
      <x:c r="Q32" s="15" t="str">
        <x:f>IF(OR(L32="",F32="",F32=0),"",L32/F32)</x:f>
      </x:c>
      <x:c r="R32" s="13" t="str">
        <x:v>Органика</x:v>
      </x:c>
      <x:c r="S32" s="13"/>
    </x:row>
    <x:row r="33" ht="36" customHeight="1">
      <x:c r="A33" s="5" t="n">
        <x:v>14</x:v>
      </x:c>
      <x:c r="B33" s="9" t="n">
        <x:v>46330</x:v>
      </x:c>
      <x:c r="C33" s="5" t="str">
        <x:v>Б • Выбери и проверь</x:v>
      </x:c>
      <x:c r="D33" s="16" t="n">
        <x:v>72</x:v>
      </x:c>
      <x:c r="E33" s="17"/>
      <x:c r="F33" s="19"/>
      <x:c r="G33" s="19"/>
      <x:c r="H33" s="17"/>
      <x:c r="I33" s="19"/>
      <x:c r="J33" s="19"/>
      <x:c r="K33" s="19"/>
      <x:c r="L33" s="19"/>
      <x:c r="M33" s="14" t="str">
        <x:f>IF(OR(K33="",F33="",F33=0),"",K33/F33)</x:f>
      </x:c>
      <x:c r="N33" s="14" t="str">
        <x:f>IF(OR(I33="",F33="",F33=0),"",I33/F33)</x:f>
      </x:c>
      <x:c r="O33" s="14" t="str">
        <x:f>IF(OR(J33="",F33="",F33=0),"",J33/F33)</x:f>
      </x:c>
      <x:c r="P33" s="14" t="str">
        <x:f>IF(OR(H33="",E33="",E33=0),"",H33/E33)</x:f>
      </x:c>
      <x:c r="Q33" s="14" t="str">
        <x:f>IF(OR(L33="",F33="",F33=0),"",L33/F33)</x:f>
      </x:c>
      <x:c r="R33" s="13" t="str">
        <x:v>Органика</x:v>
      </x:c>
      <x:c r="S33" s="13"/>
    </x:row>
    <x:row r="34" ht="36" customHeight="1">
      <x:c r="A34" s="8" t="n">
        <x:v>14</x:v>
      </x:c>
      <x:c r="B34" s="10" t="n">
        <x:v>46330</x:v>
      </x:c>
      <x:c r="C34" s="8" t="str">
        <x:v>Б • Выбери и проверь</x:v>
      </x:c>
      <x:c r="D34" s="18" t="n">
        <x:v>168</x:v>
      </x:c>
      <x:c r="E34" s="17"/>
      <x:c r="F34" s="19"/>
      <x:c r="G34" s="19"/>
      <x:c r="H34" s="17"/>
      <x:c r="I34" s="19"/>
      <x:c r="J34" s="19"/>
      <x:c r="K34" s="19"/>
      <x:c r="L34" s="19"/>
      <x:c r="M34" s="15" t="str">
        <x:f>IF(OR(K34="",F34="",F34=0),"",K34/F34)</x:f>
      </x:c>
      <x:c r="N34" s="15" t="str">
        <x:f>IF(OR(I34="",F34="",F34=0),"",I34/F34)</x:f>
      </x:c>
      <x:c r="O34" s="15" t="str">
        <x:f>IF(OR(J34="",F34="",F34=0),"",J34/F34)</x:f>
      </x:c>
      <x:c r="P34" s="15" t="str">
        <x:f>IF(OR(H34="",E34="",E34=0),"",H34/E34)</x:f>
      </x:c>
      <x:c r="Q34" s="15" t="str">
        <x:f>IF(OR(L34="",F34="",F34=0),"",L34/F34)</x:f>
      </x:c>
      <x:c r="R34" s="13" t="str">
        <x:v>Органика</x:v>
      </x:c>
      <x:c r="S34" s="13"/>
    </x:row>
    <x:row r="35" ht="36" customHeight="1">
      <x:c r="A35" s="5" t="n">
        <x:v>15</x:v>
      </x:c>
      <x:c r="B35" s="9" t="n">
        <x:v>46331</x:v>
      </x:c>
      <x:c r="C35" s="5" t="str">
        <x:v>В • Собираем результат</x:v>
      </x:c>
      <x:c r="D35" s="16" t="n">
        <x:v>72</x:v>
      </x:c>
      <x:c r="E35" s="17"/>
      <x:c r="F35" s="19"/>
      <x:c r="G35" s="19"/>
      <x:c r="H35" s="17"/>
      <x:c r="I35" s="19"/>
      <x:c r="J35" s="19"/>
      <x:c r="K35" s="19"/>
      <x:c r="L35" s="19"/>
      <x:c r="M35" s="14" t="str">
        <x:f>IF(OR(K35="",F35="",F35=0),"",K35/F35)</x:f>
      </x:c>
      <x:c r="N35" s="14" t="str">
        <x:f>IF(OR(I35="",F35="",F35=0),"",I35/F35)</x:f>
      </x:c>
      <x:c r="O35" s="14" t="str">
        <x:f>IF(OR(J35="",F35="",F35=0),"",J35/F35)</x:f>
      </x:c>
      <x:c r="P35" s="14" t="str">
        <x:f>IF(OR(H35="",E35="",E35=0),"",H35/E35)</x:f>
      </x:c>
      <x:c r="Q35" s="14" t="str">
        <x:f>IF(OR(L35="",F35="",F35=0),"",L35/F35)</x:f>
      </x:c>
      <x:c r="R35" s="13" t="str">
        <x:v>Органика</x:v>
      </x:c>
      <x:c r="S35" s="13"/>
    </x:row>
    <x:row r="36" ht="36" customHeight="1">
      <x:c r="A36" s="8" t="n">
        <x:v>15</x:v>
      </x:c>
      <x:c r="B36" s="10" t="n">
        <x:v>46331</x:v>
      </x:c>
      <x:c r="C36" s="8" t="str">
        <x:v>В • Собираем результат</x:v>
      </x:c>
      <x:c r="D36" s="18" t="n">
        <x:v>168</x:v>
      </x:c>
      <x:c r="E36" s="17"/>
      <x:c r="F36" s="19"/>
      <x:c r="G36" s="19"/>
      <x:c r="H36" s="17"/>
      <x:c r="I36" s="19"/>
      <x:c r="J36" s="19"/>
      <x:c r="K36" s="19"/>
      <x:c r="L36" s="19"/>
      <x:c r="M36" s="15" t="str">
        <x:f>IF(OR(K36="",F36="",F36=0),"",K36/F36)</x:f>
      </x:c>
      <x:c r="N36" s="15" t="str">
        <x:f>IF(OR(I36="",F36="",F36=0),"",I36/F36)</x:f>
      </x:c>
      <x:c r="O36" s="15" t="str">
        <x:f>IF(OR(J36="",F36="",F36=0),"",J36/F36)</x:f>
      </x:c>
      <x:c r="P36" s="15" t="str">
        <x:f>IF(OR(H36="",E36="",E36=0),"",H36/E36)</x:f>
      </x:c>
      <x:c r="Q36" s="15" t="str">
        <x:f>IF(OR(L36="",F36="",F36=0),"",L36/F36)</x:f>
      </x:c>
      <x:c r="R36" s="13" t="str">
        <x:v>Органика</x:v>
      </x:c>
      <x:c r="S36" s="13"/>
    </x:row>
    <x:row r="37" ht="36" customHeight="1">
      <x:c r="A37" s="5" t="n">
        <x:v>16</x:v>
      </x:c>
      <x:c r="B37" s="9" t="n">
        <x:v>46332</x:v>
      </x:c>
      <x:c r="C37" s="5" t="str">
        <x:v>А • Узнал себя</x:v>
      </x:c>
      <x:c r="D37" s="16" t="n">
        <x:v>72</x:v>
      </x:c>
      <x:c r="E37" s="17"/>
      <x:c r="F37" s="19"/>
      <x:c r="G37" s="19"/>
      <x:c r="H37" s="17"/>
      <x:c r="I37" s="19"/>
      <x:c r="J37" s="19"/>
      <x:c r="K37" s="19"/>
      <x:c r="L37" s="19"/>
      <x:c r="M37" s="14" t="str">
        <x:f>IF(OR(K37="",F37="",F37=0),"",K37/F37)</x:f>
      </x:c>
      <x:c r="N37" s="14" t="str">
        <x:f>IF(OR(I37="",F37="",F37=0),"",I37/F37)</x:f>
      </x:c>
      <x:c r="O37" s="14" t="str">
        <x:f>IF(OR(J37="",F37="",F37=0),"",J37/F37)</x:f>
      </x:c>
      <x:c r="P37" s="14" t="str">
        <x:f>IF(OR(H37="",E37="",E37=0),"",H37/E37)</x:f>
      </x:c>
      <x:c r="Q37" s="14" t="str">
        <x:f>IF(OR(L37="",F37="",F37=0),"",L37/F37)</x:f>
      </x:c>
      <x:c r="R37" s="13" t="str">
        <x:v>Органика</x:v>
      </x:c>
      <x:c r="S37" s="13"/>
    </x:row>
    <x:row r="38" ht="36" customHeight="1">
      <x:c r="A38" s="8" t="n">
        <x:v>16</x:v>
      </x:c>
      <x:c r="B38" s="10" t="n">
        <x:v>46332</x:v>
      </x:c>
      <x:c r="C38" s="8" t="str">
        <x:v>А • Узнал себя</x:v>
      </x:c>
      <x:c r="D38" s="18" t="n">
        <x:v>168</x:v>
      </x:c>
      <x:c r="E38" s="17"/>
      <x:c r="F38" s="19"/>
      <x:c r="G38" s="19"/>
      <x:c r="H38" s="17"/>
      <x:c r="I38" s="19"/>
      <x:c r="J38" s="19"/>
      <x:c r="K38" s="19"/>
      <x:c r="L38" s="19"/>
      <x:c r="M38" s="15" t="str">
        <x:f>IF(OR(K38="",F38="",F38=0),"",K38/F38)</x:f>
      </x:c>
      <x:c r="N38" s="15" t="str">
        <x:f>IF(OR(I38="",F38="",F38=0),"",I38/F38)</x:f>
      </x:c>
      <x:c r="O38" s="15" t="str">
        <x:f>IF(OR(J38="",F38="",F38=0),"",J38/F38)</x:f>
      </x:c>
      <x:c r="P38" s="15" t="str">
        <x:f>IF(OR(H38="",E38="",E38=0),"",H38/E38)</x:f>
      </x:c>
      <x:c r="Q38" s="15" t="str">
        <x:f>IF(OR(L38="",F38="",F38=0),"",L38/F38)</x:f>
      </x:c>
      <x:c r="R38" s="13" t="str">
        <x:v>Органика</x:v>
      </x:c>
      <x:c r="S38" s="13"/>
    </x:row>
    <x:row r="39" ht="36" customHeight="1">
      <x:c r="A39" s="5" t="n">
        <x:v>17</x:v>
      </x:c>
      <x:c r="B39" s="9" t="n">
        <x:v>46333</x:v>
      </x:c>
      <x:c r="C39" s="5" t="str">
        <x:v>Б • Выбери и проверь</x:v>
      </x:c>
      <x:c r="D39" s="16" t="n">
        <x:v>72</x:v>
      </x:c>
      <x:c r="E39" s="17"/>
      <x:c r="F39" s="19"/>
      <x:c r="G39" s="19"/>
      <x:c r="H39" s="17"/>
      <x:c r="I39" s="19"/>
      <x:c r="J39" s="19"/>
      <x:c r="K39" s="19"/>
      <x:c r="L39" s="19"/>
      <x:c r="M39" s="14" t="str">
        <x:f>IF(OR(K39="",F39="",F39=0),"",K39/F39)</x:f>
      </x:c>
      <x:c r="N39" s="14" t="str">
        <x:f>IF(OR(I39="",F39="",F39=0),"",I39/F39)</x:f>
      </x:c>
      <x:c r="O39" s="14" t="str">
        <x:f>IF(OR(J39="",F39="",F39=0),"",J39/F39)</x:f>
      </x:c>
      <x:c r="P39" s="14" t="str">
        <x:f>IF(OR(H39="",E39="",E39=0),"",H39/E39)</x:f>
      </x:c>
      <x:c r="Q39" s="14" t="str">
        <x:f>IF(OR(L39="",F39="",F39=0),"",L39/F39)</x:f>
      </x:c>
      <x:c r="R39" s="13" t="str">
        <x:v>Органика</x:v>
      </x:c>
      <x:c r="S39" s="13"/>
    </x:row>
    <x:row r="40" ht="36" customHeight="1">
      <x:c r="A40" s="8" t="n">
        <x:v>17</x:v>
      </x:c>
      <x:c r="B40" s="10" t="n">
        <x:v>46333</x:v>
      </x:c>
      <x:c r="C40" s="8" t="str">
        <x:v>Б • Выбери и проверь</x:v>
      </x:c>
      <x:c r="D40" s="18" t="n">
        <x:v>168</x:v>
      </x:c>
      <x:c r="E40" s="17"/>
      <x:c r="F40" s="19"/>
      <x:c r="G40" s="19"/>
      <x:c r="H40" s="17"/>
      <x:c r="I40" s="19"/>
      <x:c r="J40" s="19"/>
      <x:c r="K40" s="19"/>
      <x:c r="L40" s="19"/>
      <x:c r="M40" s="15" t="str">
        <x:f>IF(OR(K40="",F40="",F40=0),"",K40/F40)</x:f>
      </x:c>
      <x:c r="N40" s="15" t="str">
        <x:f>IF(OR(I40="",F40="",F40=0),"",I40/F40)</x:f>
      </x:c>
      <x:c r="O40" s="15" t="str">
        <x:f>IF(OR(J40="",F40="",F40=0),"",J40/F40)</x:f>
      </x:c>
      <x:c r="P40" s="15" t="str">
        <x:f>IF(OR(H40="",E40="",E40=0),"",H40/E40)</x:f>
      </x:c>
      <x:c r="Q40" s="15" t="str">
        <x:f>IF(OR(L40="",F40="",F40=0),"",L40/F40)</x:f>
      </x:c>
      <x:c r="R40" s="13" t="str">
        <x:v>Органика</x:v>
      </x:c>
      <x:c r="S40" s="13"/>
    </x:row>
    <x:row r="41" ht="36" customHeight="1">
      <x:c r="A41" s="5" t="n">
        <x:v>18</x:v>
      </x:c>
      <x:c r="B41" s="9" t="n">
        <x:v>46334</x:v>
      </x:c>
      <x:c r="C41" s="5" t="str">
        <x:v>В • Собираем результат</x:v>
      </x:c>
      <x:c r="D41" s="16" t="n">
        <x:v>72</x:v>
      </x:c>
      <x:c r="E41" s="17"/>
      <x:c r="F41" s="19"/>
      <x:c r="G41" s="19"/>
      <x:c r="H41" s="17"/>
      <x:c r="I41" s="19"/>
      <x:c r="J41" s="19"/>
      <x:c r="K41" s="19"/>
      <x:c r="L41" s="19"/>
      <x:c r="M41" s="14" t="str">
        <x:f>IF(OR(K41="",F41="",F41=0),"",K41/F41)</x:f>
      </x:c>
      <x:c r="N41" s="14" t="str">
        <x:f>IF(OR(I41="",F41="",F41=0),"",I41/F41)</x:f>
      </x:c>
      <x:c r="O41" s="14" t="str">
        <x:f>IF(OR(J41="",F41="",F41=0),"",J41/F41)</x:f>
      </x:c>
      <x:c r="P41" s="14" t="str">
        <x:f>IF(OR(H41="",E41="",E41=0),"",H41/E41)</x:f>
      </x:c>
      <x:c r="Q41" s="14" t="str">
        <x:f>IF(OR(L41="",F41="",F41=0),"",L41/F41)</x:f>
      </x:c>
      <x:c r="R41" s="13" t="str">
        <x:v>Органика</x:v>
      </x:c>
      <x:c r="S41" s="13"/>
    </x:row>
    <x:row r="42" ht="36" customHeight="1">
      <x:c r="A42" s="8" t="n">
        <x:v>18</x:v>
      </x:c>
      <x:c r="B42" s="10" t="n">
        <x:v>46334</x:v>
      </x:c>
      <x:c r="C42" s="8" t="str">
        <x:v>В • Собираем результат</x:v>
      </x:c>
      <x:c r="D42" s="18" t="n">
        <x:v>168</x:v>
      </x:c>
      <x:c r="E42" s="17"/>
      <x:c r="F42" s="19"/>
      <x:c r="G42" s="19"/>
      <x:c r="H42" s="17"/>
      <x:c r="I42" s="19"/>
      <x:c r="J42" s="19"/>
      <x:c r="K42" s="19"/>
      <x:c r="L42" s="19"/>
      <x:c r="M42" s="15" t="str">
        <x:f>IF(OR(K42="",F42="",F42=0),"",K42/F42)</x:f>
      </x:c>
      <x:c r="N42" s="15" t="str">
        <x:f>IF(OR(I42="",F42="",F42=0),"",I42/F42)</x:f>
      </x:c>
      <x:c r="O42" s="15" t="str">
        <x:f>IF(OR(J42="",F42="",F42=0),"",J42/F42)</x:f>
      </x:c>
      <x:c r="P42" s="15" t="str">
        <x:f>IF(OR(H42="",E42="",E42=0),"",H42/E42)</x:f>
      </x:c>
      <x:c r="Q42" s="15" t="str">
        <x:f>IF(OR(L42="",F42="",F42=0),"",L42/F42)</x:f>
      </x:c>
      <x:c r="R42" s="13" t="str">
        <x:v>Органика</x:v>
      </x:c>
      <x:c r="S42" s="13"/>
    </x:row>
    <x:row r="43" ht="36" customHeight="1">
      <x:c r="A43" s="5" t="n">
        <x:v>19</x:v>
      </x:c>
      <x:c r="B43" s="9" t="n">
        <x:v>46335</x:v>
      </x:c>
      <x:c r="C43" s="5" t="str">
        <x:v>А • Узнал себя</x:v>
      </x:c>
      <x:c r="D43" s="16" t="n">
        <x:v>72</x:v>
      </x:c>
      <x:c r="E43" s="17"/>
      <x:c r="F43" s="19"/>
      <x:c r="G43" s="19"/>
      <x:c r="H43" s="17"/>
      <x:c r="I43" s="19"/>
      <x:c r="J43" s="19"/>
      <x:c r="K43" s="19"/>
      <x:c r="L43" s="19"/>
      <x:c r="M43" s="14" t="str">
        <x:f>IF(OR(K43="",F43="",F43=0),"",K43/F43)</x:f>
      </x:c>
      <x:c r="N43" s="14" t="str">
        <x:f>IF(OR(I43="",F43="",F43=0),"",I43/F43)</x:f>
      </x:c>
      <x:c r="O43" s="14" t="str">
        <x:f>IF(OR(J43="",F43="",F43=0),"",J43/F43)</x:f>
      </x:c>
      <x:c r="P43" s="14" t="str">
        <x:f>IF(OR(H43="",E43="",E43=0),"",H43/E43)</x:f>
      </x:c>
      <x:c r="Q43" s="14" t="str">
        <x:f>IF(OR(L43="",F43="",F43=0),"",L43/F43)</x:f>
      </x:c>
      <x:c r="R43" s="13" t="str">
        <x:v>Органика</x:v>
      </x:c>
      <x:c r="S43" s="13"/>
    </x:row>
    <x:row r="44" ht="36" customHeight="1">
      <x:c r="A44" s="8" t="n">
        <x:v>19</x:v>
      </x:c>
      <x:c r="B44" s="10" t="n">
        <x:v>46335</x:v>
      </x:c>
      <x:c r="C44" s="8" t="str">
        <x:v>А • Узнал себя</x:v>
      </x:c>
      <x:c r="D44" s="18" t="n">
        <x:v>168</x:v>
      </x:c>
      <x:c r="E44" s="17"/>
      <x:c r="F44" s="19"/>
      <x:c r="G44" s="19"/>
      <x:c r="H44" s="17"/>
      <x:c r="I44" s="19"/>
      <x:c r="J44" s="19"/>
      <x:c r="K44" s="19"/>
      <x:c r="L44" s="19"/>
      <x:c r="M44" s="15" t="str">
        <x:f>IF(OR(K44="",F44="",F44=0),"",K44/F44)</x:f>
      </x:c>
      <x:c r="N44" s="15" t="str">
        <x:f>IF(OR(I44="",F44="",F44=0),"",I44/F44)</x:f>
      </x:c>
      <x:c r="O44" s="15" t="str">
        <x:f>IF(OR(J44="",F44="",F44=0),"",J44/F44)</x:f>
      </x:c>
      <x:c r="P44" s="15" t="str">
        <x:f>IF(OR(H44="",E44="",E44=0),"",H44/E44)</x:f>
      </x:c>
      <x:c r="Q44" s="15" t="str">
        <x:f>IF(OR(L44="",F44="",F44=0),"",L44/F44)</x:f>
      </x:c>
      <x:c r="R44" s="13" t="str">
        <x:v>Органика</x:v>
      </x:c>
      <x:c r="S44" s="13"/>
    </x:row>
    <x:row r="45" ht="36" customHeight="1">
      <x:c r="A45" s="5" t="n">
        <x:v>20</x:v>
      </x:c>
      <x:c r="B45" s="9" t="n">
        <x:v>46336</x:v>
      </x:c>
      <x:c r="C45" s="5" t="str">
        <x:v>Б • Выбери и проверь</x:v>
      </x:c>
      <x:c r="D45" s="16" t="n">
        <x:v>72</x:v>
      </x:c>
      <x:c r="E45" s="17"/>
      <x:c r="F45" s="19"/>
      <x:c r="G45" s="19"/>
      <x:c r="H45" s="17"/>
      <x:c r="I45" s="19"/>
      <x:c r="J45" s="19"/>
      <x:c r="K45" s="19"/>
      <x:c r="L45" s="19"/>
      <x:c r="M45" s="14" t="str">
        <x:f>IF(OR(K45="",F45="",F45=0),"",K45/F45)</x:f>
      </x:c>
      <x:c r="N45" s="14" t="str">
        <x:f>IF(OR(I45="",F45="",F45=0),"",I45/F45)</x:f>
      </x:c>
      <x:c r="O45" s="14" t="str">
        <x:f>IF(OR(J45="",F45="",F45=0),"",J45/F45)</x:f>
      </x:c>
      <x:c r="P45" s="14" t="str">
        <x:f>IF(OR(H45="",E45="",E45=0),"",H45/E45)</x:f>
      </x:c>
      <x:c r="Q45" s="14" t="str">
        <x:f>IF(OR(L45="",F45="",F45=0),"",L45/F45)</x:f>
      </x:c>
      <x:c r="R45" s="13" t="str">
        <x:v>Органика</x:v>
      </x:c>
      <x:c r="S45" s="13"/>
    </x:row>
    <x:row r="46" ht="36" customHeight="1">
      <x:c r="A46" s="8" t="n">
        <x:v>20</x:v>
      </x:c>
      <x:c r="B46" s="10" t="n">
        <x:v>46336</x:v>
      </x:c>
      <x:c r="C46" s="8" t="str">
        <x:v>Б • Выбери и проверь</x:v>
      </x:c>
      <x:c r="D46" s="18" t="n">
        <x:v>168</x:v>
      </x:c>
      <x:c r="E46" s="17"/>
      <x:c r="F46" s="19"/>
      <x:c r="G46" s="19"/>
      <x:c r="H46" s="17"/>
      <x:c r="I46" s="19"/>
      <x:c r="J46" s="19"/>
      <x:c r="K46" s="19"/>
      <x:c r="L46" s="19"/>
      <x:c r="M46" s="15" t="str">
        <x:f>IF(OR(K46="",F46="",F46=0),"",K46/F46)</x:f>
      </x:c>
      <x:c r="N46" s="15" t="str">
        <x:f>IF(OR(I46="",F46="",F46=0),"",I46/F46)</x:f>
      </x:c>
      <x:c r="O46" s="15" t="str">
        <x:f>IF(OR(J46="",F46="",F46=0),"",J46/F46)</x:f>
      </x:c>
      <x:c r="P46" s="15" t="str">
        <x:f>IF(OR(H46="",E46="",E46=0),"",H46/E46)</x:f>
      </x:c>
      <x:c r="Q46" s="15" t="str">
        <x:f>IF(OR(L46="",F46="",F46=0),"",L46/F46)</x:f>
      </x:c>
      <x:c r="R46" s="13" t="str">
        <x:v>Органика</x:v>
      </x:c>
      <x:c r="S46" s="13"/>
    </x:row>
    <x:row r="47" ht="36" customHeight="1">
      <x:c r="A47" s="5" t="n">
        <x:v>21</x:v>
      </x:c>
      <x:c r="B47" s="9" t="n">
        <x:v>46337</x:v>
      </x:c>
      <x:c r="C47" s="5" t="str">
        <x:v>В • Собираем результат</x:v>
      </x:c>
      <x:c r="D47" s="16" t="n">
        <x:v>72</x:v>
      </x:c>
      <x:c r="E47" s="17"/>
      <x:c r="F47" s="19"/>
      <x:c r="G47" s="19"/>
      <x:c r="H47" s="17"/>
      <x:c r="I47" s="19"/>
      <x:c r="J47" s="19"/>
      <x:c r="K47" s="19"/>
      <x:c r="L47" s="19"/>
      <x:c r="M47" s="14" t="str">
        <x:f>IF(OR(K47="",F47="",F47=0),"",K47/F47)</x:f>
      </x:c>
      <x:c r="N47" s="14" t="str">
        <x:f>IF(OR(I47="",F47="",F47=0),"",I47/F47)</x:f>
      </x:c>
      <x:c r="O47" s="14" t="str">
        <x:f>IF(OR(J47="",F47="",F47=0),"",J47/F47)</x:f>
      </x:c>
      <x:c r="P47" s="14" t="str">
        <x:f>IF(OR(H47="",E47="",E47=0),"",H47/E47)</x:f>
      </x:c>
      <x:c r="Q47" s="14" t="str">
        <x:f>IF(OR(L47="",F47="",F47=0),"",L47/F47)</x:f>
      </x:c>
      <x:c r="R47" s="13" t="str">
        <x:v>Органика</x:v>
      </x:c>
      <x:c r="S47" s="13"/>
    </x:row>
    <x:row r="48" ht="36" customHeight="1">
      <x:c r="A48" s="8" t="n">
        <x:v>21</x:v>
      </x:c>
      <x:c r="B48" s="10" t="n">
        <x:v>46337</x:v>
      </x:c>
      <x:c r="C48" s="8" t="str">
        <x:v>В • Собираем результат</x:v>
      </x:c>
      <x:c r="D48" s="18" t="n">
        <x:v>168</x:v>
      </x:c>
      <x:c r="E48" s="17"/>
      <x:c r="F48" s="19"/>
      <x:c r="G48" s="19"/>
      <x:c r="H48" s="17"/>
      <x:c r="I48" s="19"/>
      <x:c r="J48" s="19"/>
      <x:c r="K48" s="19"/>
      <x:c r="L48" s="19"/>
      <x:c r="M48" s="15" t="str">
        <x:f>IF(OR(K48="",F48="",F48=0),"",K48/F48)</x:f>
      </x:c>
      <x:c r="N48" s="15" t="str">
        <x:f>IF(OR(I48="",F48="",F48=0),"",I48/F48)</x:f>
      </x:c>
      <x:c r="O48" s="15" t="str">
        <x:f>IF(OR(J48="",F48="",F48=0),"",J48/F48)</x:f>
      </x:c>
      <x:c r="P48" s="15" t="str">
        <x:f>IF(OR(H48="",E48="",E48=0),"",H48/E48)</x:f>
      </x:c>
      <x:c r="Q48" s="15" t="str">
        <x:f>IF(OR(L48="",F48="",F48=0),"",L48/F48)</x:f>
      </x:c>
      <x:c r="R48" s="13" t="str">
        <x:v>Органика</x:v>
      </x:c>
      <x:c r="S48" s="13"/>
    </x:row>
    <x:row r="49" ht="36" customHeight="1">
      <x:c r="A49" s="5" t="n">
        <x:v>22</x:v>
      </x:c>
      <x:c r="B49" s="9" t="n">
        <x:v>46338</x:v>
      </x:c>
      <x:c r="C49" s="5" t="str">
        <x:v>А • Узнал себя</x:v>
      </x:c>
      <x:c r="D49" s="16" t="n">
        <x:v>72</x:v>
      </x:c>
      <x:c r="E49" s="17"/>
      <x:c r="F49" s="19"/>
      <x:c r="G49" s="19"/>
      <x:c r="H49" s="17"/>
      <x:c r="I49" s="19"/>
      <x:c r="J49" s="19"/>
      <x:c r="K49" s="19"/>
      <x:c r="L49" s="19"/>
      <x:c r="M49" s="14" t="str">
        <x:f>IF(OR(K49="",F49="",F49=0),"",K49/F49)</x:f>
      </x:c>
      <x:c r="N49" s="14" t="str">
        <x:f>IF(OR(I49="",F49="",F49=0),"",I49/F49)</x:f>
      </x:c>
      <x:c r="O49" s="14" t="str">
        <x:f>IF(OR(J49="",F49="",F49=0),"",J49/F49)</x:f>
      </x:c>
      <x:c r="P49" s="14" t="str">
        <x:f>IF(OR(H49="",E49="",E49=0),"",H49/E49)</x:f>
      </x:c>
      <x:c r="Q49" s="14" t="str">
        <x:f>IF(OR(L49="",F49="",F49=0),"",L49/F49)</x:f>
      </x:c>
      <x:c r="R49" s="13" t="str">
        <x:v>Органика</x:v>
      </x:c>
      <x:c r="S49" s="13"/>
    </x:row>
    <x:row r="50" ht="36" customHeight="1">
      <x:c r="A50" s="8" t="n">
        <x:v>22</x:v>
      </x:c>
      <x:c r="B50" s="10" t="n">
        <x:v>46338</x:v>
      </x:c>
      <x:c r="C50" s="8" t="str">
        <x:v>А • Узнал себя</x:v>
      </x:c>
      <x:c r="D50" s="18" t="n">
        <x:v>168</x:v>
      </x:c>
      <x:c r="E50" s="17"/>
      <x:c r="F50" s="19"/>
      <x:c r="G50" s="19"/>
      <x:c r="H50" s="17"/>
      <x:c r="I50" s="19"/>
      <x:c r="J50" s="19"/>
      <x:c r="K50" s="19"/>
      <x:c r="L50" s="19"/>
      <x:c r="M50" s="15" t="str">
        <x:f>IF(OR(K50="",F50="",F50=0),"",K50/F50)</x:f>
      </x:c>
      <x:c r="N50" s="15" t="str">
        <x:f>IF(OR(I50="",F50="",F50=0),"",I50/F50)</x:f>
      </x:c>
      <x:c r="O50" s="15" t="str">
        <x:f>IF(OR(J50="",F50="",F50=0),"",J50/F50)</x:f>
      </x:c>
      <x:c r="P50" s="15" t="str">
        <x:f>IF(OR(H50="",E50="",E50=0),"",H50/E50)</x:f>
      </x:c>
      <x:c r="Q50" s="15" t="str">
        <x:f>IF(OR(L50="",F50="",F50=0),"",L50/F50)</x:f>
      </x:c>
      <x:c r="R50" s="13" t="str">
        <x:v>Органика</x:v>
      </x:c>
      <x:c r="S50" s="13"/>
    </x:row>
    <x:row r="51" ht="36" customHeight="1">
      <x:c r="A51" s="5" t="n">
        <x:v>23</x:v>
      </x:c>
      <x:c r="B51" s="9" t="n">
        <x:v>46339</x:v>
      </x:c>
      <x:c r="C51" s="5" t="str">
        <x:v>Б • Выбери и проверь</x:v>
      </x:c>
      <x:c r="D51" s="16" t="n">
        <x:v>72</x:v>
      </x:c>
      <x:c r="E51" s="17"/>
      <x:c r="F51" s="19"/>
      <x:c r="G51" s="19"/>
      <x:c r="H51" s="17"/>
      <x:c r="I51" s="19"/>
      <x:c r="J51" s="19"/>
      <x:c r="K51" s="19"/>
      <x:c r="L51" s="19"/>
      <x:c r="M51" s="14" t="str">
        <x:f>IF(OR(K51="",F51="",F51=0),"",K51/F51)</x:f>
      </x:c>
      <x:c r="N51" s="14" t="str">
        <x:f>IF(OR(I51="",F51="",F51=0),"",I51/F51)</x:f>
      </x:c>
      <x:c r="O51" s="14" t="str">
        <x:f>IF(OR(J51="",F51="",F51=0),"",J51/F51)</x:f>
      </x:c>
      <x:c r="P51" s="14" t="str">
        <x:f>IF(OR(H51="",E51="",E51=0),"",H51/E51)</x:f>
      </x:c>
      <x:c r="Q51" s="14" t="str">
        <x:f>IF(OR(L51="",F51="",F51=0),"",L51/F51)</x:f>
      </x:c>
      <x:c r="R51" s="13" t="str">
        <x:v>Органика</x:v>
      </x:c>
      <x:c r="S51" s="13"/>
    </x:row>
    <x:row r="52" ht="36" customHeight="1">
      <x:c r="A52" s="8" t="n">
        <x:v>23</x:v>
      </x:c>
      <x:c r="B52" s="10" t="n">
        <x:v>46339</x:v>
      </x:c>
      <x:c r="C52" s="8" t="str">
        <x:v>Б • Выбери и проверь</x:v>
      </x:c>
      <x:c r="D52" s="18" t="n">
        <x:v>168</x:v>
      </x:c>
      <x:c r="E52" s="17"/>
      <x:c r="F52" s="19"/>
      <x:c r="G52" s="19"/>
      <x:c r="H52" s="17"/>
      <x:c r="I52" s="19"/>
      <x:c r="J52" s="19"/>
      <x:c r="K52" s="19"/>
      <x:c r="L52" s="19"/>
      <x:c r="M52" s="15" t="str">
        <x:f>IF(OR(K52="",F52="",F52=0),"",K52/F52)</x:f>
      </x:c>
      <x:c r="N52" s="15" t="str">
        <x:f>IF(OR(I52="",F52="",F52=0),"",I52/F52)</x:f>
      </x:c>
      <x:c r="O52" s="15" t="str">
        <x:f>IF(OR(J52="",F52="",F52=0),"",J52/F52)</x:f>
      </x:c>
      <x:c r="P52" s="15" t="str">
        <x:f>IF(OR(H52="",E52="",E52=0),"",H52/E52)</x:f>
      </x:c>
      <x:c r="Q52" s="15" t="str">
        <x:f>IF(OR(L52="",F52="",F52=0),"",L52/F52)</x:f>
      </x:c>
      <x:c r="R52" s="13" t="str">
        <x:v>Органика</x:v>
      </x:c>
      <x:c r="S52" s="13"/>
    </x:row>
    <x:row r="53" ht="36" customHeight="1">
      <x:c r="A53" s="5" t="n">
        <x:v>24</x:v>
      </x:c>
      <x:c r="B53" s="9" t="n">
        <x:v>46340</x:v>
      </x:c>
      <x:c r="C53" s="5" t="str">
        <x:v>В • Собираем результат</x:v>
      </x:c>
      <x:c r="D53" s="16" t="n">
        <x:v>72</x:v>
      </x:c>
      <x:c r="E53" s="17"/>
      <x:c r="F53" s="19"/>
      <x:c r="G53" s="19"/>
      <x:c r="H53" s="17"/>
      <x:c r="I53" s="19"/>
      <x:c r="J53" s="19"/>
      <x:c r="K53" s="19"/>
      <x:c r="L53" s="19"/>
      <x:c r="M53" s="14" t="str">
        <x:f>IF(OR(K53="",F53="",F53=0),"",K53/F53)</x:f>
      </x:c>
      <x:c r="N53" s="14" t="str">
        <x:f>IF(OR(I53="",F53="",F53=0),"",I53/F53)</x:f>
      </x:c>
      <x:c r="O53" s="14" t="str">
        <x:f>IF(OR(J53="",F53="",F53=0),"",J53/F53)</x:f>
      </x:c>
      <x:c r="P53" s="14" t="str">
        <x:f>IF(OR(H53="",E53="",E53=0),"",H53/E53)</x:f>
      </x:c>
      <x:c r="Q53" s="14" t="str">
        <x:f>IF(OR(L53="",F53="",F53=0),"",L53/F53)</x:f>
      </x:c>
      <x:c r="R53" s="13" t="str">
        <x:v>Органика</x:v>
      </x:c>
      <x:c r="S53" s="13"/>
    </x:row>
    <x:row r="54" ht="36" customHeight="1">
      <x:c r="A54" s="8" t="n">
        <x:v>24</x:v>
      </x:c>
      <x:c r="B54" s="10" t="n">
        <x:v>46340</x:v>
      </x:c>
      <x:c r="C54" s="8" t="str">
        <x:v>В • Собираем результат</x:v>
      </x:c>
      <x:c r="D54" s="18" t="n">
        <x:v>168</x:v>
      </x:c>
      <x:c r="E54" s="17"/>
      <x:c r="F54" s="19"/>
      <x:c r="G54" s="19"/>
      <x:c r="H54" s="17"/>
      <x:c r="I54" s="19"/>
      <x:c r="J54" s="19"/>
      <x:c r="K54" s="19"/>
      <x:c r="L54" s="19"/>
      <x:c r="M54" s="15" t="str">
        <x:f>IF(OR(K54="",F54="",F54=0),"",K54/F54)</x:f>
      </x:c>
      <x:c r="N54" s="15" t="str">
        <x:f>IF(OR(I54="",F54="",F54=0),"",I54/F54)</x:f>
      </x:c>
      <x:c r="O54" s="15" t="str">
        <x:f>IF(OR(J54="",F54="",F54=0),"",J54/F54)</x:f>
      </x:c>
      <x:c r="P54" s="15" t="str">
        <x:f>IF(OR(H54="",E54="",E54=0),"",H54/E54)</x:f>
      </x:c>
      <x:c r="Q54" s="15" t="str">
        <x:f>IF(OR(L54="",F54="",F54=0),"",L54/F54)</x:f>
      </x:c>
      <x:c r="R54" s="13" t="str">
        <x:v>Органика</x:v>
      </x:c>
      <x:c r="S54" s="13"/>
    </x:row>
    <x:row r="55" ht="36" customHeight="1">
      <x:c r="A55" s="5" t="n">
        <x:v>25</x:v>
      </x:c>
      <x:c r="B55" s="9" t="n">
        <x:v>46341</x:v>
      </x:c>
      <x:c r="C55" s="5" t="str">
        <x:v>А • Узнал себя</x:v>
      </x:c>
      <x:c r="D55" s="16" t="n">
        <x:v>72</x:v>
      </x:c>
      <x:c r="E55" s="17"/>
      <x:c r="F55" s="19"/>
      <x:c r="G55" s="19"/>
      <x:c r="H55" s="17"/>
      <x:c r="I55" s="19"/>
      <x:c r="J55" s="19"/>
      <x:c r="K55" s="19"/>
      <x:c r="L55" s="19"/>
      <x:c r="M55" s="14" t="str">
        <x:f>IF(OR(K55="",F55="",F55=0),"",K55/F55)</x:f>
      </x:c>
      <x:c r="N55" s="14" t="str">
        <x:f>IF(OR(I55="",F55="",F55=0),"",I55/F55)</x:f>
      </x:c>
      <x:c r="O55" s="14" t="str">
        <x:f>IF(OR(J55="",F55="",F55=0),"",J55/F55)</x:f>
      </x:c>
      <x:c r="P55" s="14" t="str">
        <x:f>IF(OR(H55="",E55="",E55=0),"",H55/E55)</x:f>
      </x:c>
      <x:c r="Q55" s="14" t="str">
        <x:f>IF(OR(L55="",F55="",F55=0),"",L55/F55)</x:f>
      </x:c>
      <x:c r="R55" s="13" t="str">
        <x:v>Органика</x:v>
      </x:c>
      <x:c r="S55" s="13"/>
    </x:row>
    <x:row r="56" ht="36" customHeight="1">
      <x:c r="A56" s="8" t="n">
        <x:v>25</x:v>
      </x:c>
      <x:c r="B56" s="10" t="n">
        <x:v>46341</x:v>
      </x:c>
      <x:c r="C56" s="8" t="str">
        <x:v>А • Узнал себя</x:v>
      </x:c>
      <x:c r="D56" s="18" t="n">
        <x:v>168</x:v>
      </x:c>
      <x:c r="E56" s="17"/>
      <x:c r="F56" s="19"/>
      <x:c r="G56" s="19"/>
      <x:c r="H56" s="17"/>
      <x:c r="I56" s="19"/>
      <x:c r="J56" s="19"/>
      <x:c r="K56" s="19"/>
      <x:c r="L56" s="19"/>
      <x:c r="M56" s="15" t="str">
        <x:f>IF(OR(K56="",F56="",F56=0),"",K56/F56)</x:f>
      </x:c>
      <x:c r="N56" s="15" t="str">
        <x:f>IF(OR(I56="",F56="",F56=0),"",I56/F56)</x:f>
      </x:c>
      <x:c r="O56" s="15" t="str">
        <x:f>IF(OR(J56="",F56="",F56=0),"",J56/F56)</x:f>
      </x:c>
      <x:c r="P56" s="15" t="str">
        <x:f>IF(OR(H56="",E56="",E56=0),"",H56/E56)</x:f>
      </x:c>
      <x:c r="Q56" s="15" t="str">
        <x:f>IF(OR(L56="",F56="",F56=0),"",L56/F56)</x:f>
      </x:c>
      <x:c r="R56" s="13" t="str">
        <x:v>Органика</x:v>
      </x:c>
      <x:c r="S56" s="13"/>
    </x:row>
    <x:row r="57" ht="36" customHeight="1">
      <x:c r="A57" s="5" t="n">
        <x:v>26</x:v>
      </x:c>
      <x:c r="B57" s="9" t="n">
        <x:v>46342</x:v>
      </x:c>
      <x:c r="C57" s="5" t="str">
        <x:v>Б • Выбери и проверь</x:v>
      </x:c>
      <x:c r="D57" s="16" t="n">
        <x:v>72</x:v>
      </x:c>
      <x:c r="E57" s="17"/>
      <x:c r="F57" s="19"/>
      <x:c r="G57" s="19"/>
      <x:c r="H57" s="17"/>
      <x:c r="I57" s="19"/>
      <x:c r="J57" s="19"/>
      <x:c r="K57" s="19"/>
      <x:c r="L57" s="19"/>
      <x:c r="M57" s="14" t="str">
        <x:f>IF(OR(K57="",F57="",F57=0),"",K57/F57)</x:f>
      </x:c>
      <x:c r="N57" s="14" t="str">
        <x:f>IF(OR(I57="",F57="",F57=0),"",I57/F57)</x:f>
      </x:c>
      <x:c r="O57" s="14" t="str">
        <x:f>IF(OR(J57="",F57="",F57=0),"",J57/F57)</x:f>
      </x:c>
      <x:c r="P57" s="14" t="str">
        <x:f>IF(OR(H57="",E57="",E57=0),"",H57/E57)</x:f>
      </x:c>
      <x:c r="Q57" s="14" t="str">
        <x:f>IF(OR(L57="",F57="",F57=0),"",L57/F57)</x:f>
      </x:c>
      <x:c r="R57" s="13" t="str">
        <x:v>Органика</x:v>
      </x:c>
      <x:c r="S57" s="13"/>
    </x:row>
    <x:row r="58" ht="36" customHeight="1">
      <x:c r="A58" s="8" t="n">
        <x:v>26</x:v>
      </x:c>
      <x:c r="B58" s="10" t="n">
        <x:v>46342</x:v>
      </x:c>
      <x:c r="C58" s="8" t="str">
        <x:v>Б • Выбери и проверь</x:v>
      </x:c>
      <x:c r="D58" s="18" t="n">
        <x:v>168</x:v>
      </x:c>
      <x:c r="E58" s="17"/>
      <x:c r="F58" s="19"/>
      <x:c r="G58" s="19"/>
      <x:c r="H58" s="17"/>
      <x:c r="I58" s="19"/>
      <x:c r="J58" s="19"/>
      <x:c r="K58" s="19"/>
      <x:c r="L58" s="19"/>
      <x:c r="M58" s="15" t="str">
        <x:f>IF(OR(K58="",F58="",F58=0),"",K58/F58)</x:f>
      </x:c>
      <x:c r="N58" s="15" t="str">
        <x:f>IF(OR(I58="",F58="",F58=0),"",I58/F58)</x:f>
      </x:c>
      <x:c r="O58" s="15" t="str">
        <x:f>IF(OR(J58="",F58="",F58=0),"",J58/F58)</x:f>
      </x:c>
      <x:c r="P58" s="15" t="str">
        <x:f>IF(OR(H58="",E58="",E58=0),"",H58/E58)</x:f>
      </x:c>
      <x:c r="Q58" s="15" t="str">
        <x:f>IF(OR(L58="",F58="",F58=0),"",L58/F58)</x:f>
      </x:c>
      <x:c r="R58" s="13" t="str">
        <x:v>Органика</x:v>
      </x:c>
      <x:c r="S58" s="13"/>
    </x:row>
    <x:row r="59" ht="36" customHeight="1">
      <x:c r="A59" s="5" t="n">
        <x:v>27</x:v>
      </x:c>
      <x:c r="B59" s="9" t="n">
        <x:v>46343</x:v>
      </x:c>
      <x:c r="C59" s="5" t="str">
        <x:v>В • Собираем результат</x:v>
      </x:c>
      <x:c r="D59" s="16" t="n">
        <x:v>72</x:v>
      </x:c>
      <x:c r="E59" s="17"/>
      <x:c r="F59" s="19"/>
      <x:c r="G59" s="19"/>
      <x:c r="H59" s="17"/>
      <x:c r="I59" s="19"/>
      <x:c r="J59" s="19"/>
      <x:c r="K59" s="19"/>
      <x:c r="L59" s="19"/>
      <x:c r="M59" s="14" t="str">
        <x:f>IF(OR(K59="",F59="",F59=0),"",K59/F59)</x:f>
      </x:c>
      <x:c r="N59" s="14" t="str">
        <x:f>IF(OR(I59="",F59="",F59=0),"",I59/F59)</x:f>
      </x:c>
      <x:c r="O59" s="14" t="str">
        <x:f>IF(OR(J59="",F59="",F59=0),"",J59/F59)</x:f>
      </x:c>
      <x:c r="P59" s="14" t="str">
        <x:f>IF(OR(H59="",E59="",E59=0),"",H59/E59)</x:f>
      </x:c>
      <x:c r="Q59" s="14" t="str">
        <x:f>IF(OR(L59="",F59="",F59=0),"",L59/F59)</x:f>
      </x:c>
      <x:c r="R59" s="13" t="str">
        <x:v>Органика</x:v>
      </x:c>
      <x:c r="S59" s="13"/>
    </x:row>
    <x:row r="60" ht="36" customHeight="1">
      <x:c r="A60" s="8" t="n">
        <x:v>27</x:v>
      </x:c>
      <x:c r="B60" s="10" t="n">
        <x:v>46343</x:v>
      </x:c>
      <x:c r="C60" s="8" t="str">
        <x:v>В • Собираем результат</x:v>
      </x:c>
      <x:c r="D60" s="18" t="n">
        <x:v>168</x:v>
      </x:c>
      <x:c r="E60" s="17"/>
      <x:c r="F60" s="19"/>
      <x:c r="G60" s="19"/>
      <x:c r="H60" s="17"/>
      <x:c r="I60" s="19"/>
      <x:c r="J60" s="19"/>
      <x:c r="K60" s="19"/>
      <x:c r="L60" s="19"/>
      <x:c r="M60" s="15" t="str">
        <x:f>IF(OR(K60="",F60="",F60=0),"",K60/F60)</x:f>
      </x:c>
      <x:c r="N60" s="15" t="str">
        <x:f>IF(OR(I60="",F60="",F60=0),"",I60/F60)</x:f>
      </x:c>
      <x:c r="O60" s="15" t="str">
        <x:f>IF(OR(J60="",F60="",F60=0),"",J60/F60)</x:f>
      </x:c>
      <x:c r="P60" s="15" t="str">
        <x:f>IF(OR(H60="",E60="",E60=0),"",H60/E60)</x:f>
      </x:c>
      <x:c r="Q60" s="15" t="str">
        <x:f>IF(OR(L60="",F60="",F60=0),"",L60/F60)</x:f>
      </x:c>
      <x:c r="R60" s="13" t="str">
        <x:v>Органика</x:v>
      </x:c>
      <x:c r="S60" s="13"/>
    </x:row>
    <x:row r="61" ht="36" customHeight="1">
      <x:c r="A61" s="5" t="n">
        <x:v>28</x:v>
      </x:c>
      <x:c r="B61" s="9" t="n">
        <x:v>46344</x:v>
      </x:c>
      <x:c r="C61" s="5" t="str">
        <x:v>А • Узнал себя</x:v>
      </x:c>
      <x:c r="D61" s="16" t="n">
        <x:v>72</x:v>
      </x:c>
      <x:c r="E61" s="17"/>
      <x:c r="F61" s="19"/>
      <x:c r="G61" s="19"/>
      <x:c r="H61" s="17"/>
      <x:c r="I61" s="19"/>
      <x:c r="J61" s="19"/>
      <x:c r="K61" s="19"/>
      <x:c r="L61" s="19"/>
      <x:c r="M61" s="14" t="str">
        <x:f>IF(OR(K61="",F61="",F61=0),"",K61/F61)</x:f>
      </x:c>
      <x:c r="N61" s="14" t="str">
        <x:f>IF(OR(I61="",F61="",F61=0),"",I61/F61)</x:f>
      </x:c>
      <x:c r="O61" s="14" t="str">
        <x:f>IF(OR(J61="",F61="",F61=0),"",J61/F61)</x:f>
      </x:c>
      <x:c r="P61" s="14" t="str">
        <x:f>IF(OR(H61="",E61="",E61=0),"",H61/E61)</x:f>
      </x:c>
      <x:c r="Q61" s="14" t="str">
        <x:f>IF(OR(L61="",F61="",F61=0),"",L61/F61)</x:f>
      </x:c>
      <x:c r="R61" s="13" t="str">
        <x:v>Органика</x:v>
      </x:c>
      <x:c r="S61" s="13"/>
    </x:row>
    <x:row r="62" ht="36" customHeight="1">
      <x:c r="A62" s="8" t="n">
        <x:v>28</x:v>
      </x:c>
      <x:c r="B62" s="10" t="n">
        <x:v>46344</x:v>
      </x:c>
      <x:c r="C62" s="8" t="str">
        <x:v>А • Узнал себя</x:v>
      </x:c>
      <x:c r="D62" s="18" t="n">
        <x:v>168</x:v>
      </x:c>
      <x:c r="E62" s="17"/>
      <x:c r="F62" s="19"/>
      <x:c r="G62" s="19"/>
      <x:c r="H62" s="17"/>
      <x:c r="I62" s="19"/>
      <x:c r="J62" s="19"/>
      <x:c r="K62" s="19"/>
      <x:c r="L62" s="19"/>
      <x:c r="M62" s="15" t="str">
        <x:f>IF(OR(K62="",F62="",F62=0),"",K62/F62)</x:f>
      </x:c>
      <x:c r="N62" s="15" t="str">
        <x:f>IF(OR(I62="",F62="",F62=0),"",I62/F62)</x:f>
      </x:c>
      <x:c r="O62" s="15" t="str">
        <x:f>IF(OR(J62="",F62="",F62=0),"",J62/F62)</x:f>
      </x:c>
      <x:c r="P62" s="15" t="str">
        <x:f>IF(OR(H62="",E62="",E62=0),"",H62/E62)</x:f>
      </x:c>
      <x:c r="Q62" s="15" t="str">
        <x:f>IF(OR(L62="",F62="",F62=0),"",L62/F62)</x:f>
      </x:c>
      <x:c r="R62" s="13" t="str">
        <x:v>Органика</x:v>
      </x:c>
      <x:c r="S62" s="13"/>
    </x:row>
    <x:row r="63" ht="36" customHeight="1">
      <x:c r="A63" s="5" t="n">
        <x:v>29</x:v>
      </x:c>
      <x:c r="B63" s="9" t="n">
        <x:v>46345</x:v>
      </x:c>
      <x:c r="C63" s="5" t="str">
        <x:v>Б • Выбери и проверь</x:v>
      </x:c>
      <x:c r="D63" s="16" t="n">
        <x:v>72</x:v>
      </x:c>
      <x:c r="E63" s="17"/>
      <x:c r="F63" s="19"/>
      <x:c r="G63" s="19"/>
      <x:c r="H63" s="17"/>
      <x:c r="I63" s="19"/>
      <x:c r="J63" s="19"/>
      <x:c r="K63" s="19"/>
      <x:c r="L63" s="19"/>
      <x:c r="M63" s="14" t="str">
        <x:f>IF(OR(K63="",F63="",F63=0),"",K63/F63)</x:f>
      </x:c>
      <x:c r="N63" s="14" t="str">
        <x:f>IF(OR(I63="",F63="",F63=0),"",I63/F63)</x:f>
      </x:c>
      <x:c r="O63" s="14" t="str">
        <x:f>IF(OR(J63="",F63="",F63=0),"",J63/F63)</x:f>
      </x:c>
      <x:c r="P63" s="14" t="str">
        <x:f>IF(OR(H63="",E63="",E63=0),"",H63/E63)</x:f>
      </x:c>
      <x:c r="Q63" s="14" t="str">
        <x:f>IF(OR(L63="",F63="",F63=0),"",L63/F63)</x:f>
      </x:c>
      <x:c r="R63" s="13" t="str">
        <x:v>Органика</x:v>
      </x:c>
      <x:c r="S63" s="13"/>
    </x:row>
    <x:row r="64" ht="36" customHeight="1">
      <x:c r="A64" s="8" t="n">
        <x:v>29</x:v>
      </x:c>
      <x:c r="B64" s="10" t="n">
        <x:v>46345</x:v>
      </x:c>
      <x:c r="C64" s="8" t="str">
        <x:v>Б • Выбери и проверь</x:v>
      </x:c>
      <x:c r="D64" s="18" t="n">
        <x:v>168</x:v>
      </x:c>
      <x:c r="E64" s="17"/>
      <x:c r="F64" s="19"/>
      <x:c r="G64" s="19"/>
      <x:c r="H64" s="17"/>
      <x:c r="I64" s="19"/>
      <x:c r="J64" s="19"/>
      <x:c r="K64" s="19"/>
      <x:c r="L64" s="19"/>
      <x:c r="M64" s="15" t="str">
        <x:f>IF(OR(K64="",F64="",F64=0),"",K64/F64)</x:f>
      </x:c>
      <x:c r="N64" s="15" t="str">
        <x:f>IF(OR(I64="",F64="",F64=0),"",I64/F64)</x:f>
      </x:c>
      <x:c r="O64" s="15" t="str">
        <x:f>IF(OR(J64="",F64="",F64=0),"",J64/F64)</x:f>
      </x:c>
      <x:c r="P64" s="15" t="str">
        <x:f>IF(OR(H64="",E64="",E64=0),"",H64/E64)</x:f>
      </x:c>
      <x:c r="Q64" s="15" t="str">
        <x:f>IF(OR(L64="",F64="",F64=0),"",L64/F64)</x:f>
      </x:c>
      <x:c r="R64" s="13" t="str">
        <x:v>Органика</x:v>
      </x:c>
      <x:c r="S64" s="13"/>
    </x:row>
    <x:row r="65" ht="36" customHeight="1">
      <x:c r="A65" s="5" t="n">
        <x:v>30</x:v>
      </x:c>
      <x:c r="B65" s="9" t="n">
        <x:v>46346</x:v>
      </x:c>
      <x:c r="C65" s="5" t="str">
        <x:v>В • Собираем результат</x:v>
      </x:c>
      <x:c r="D65" s="16" t="n">
        <x:v>72</x:v>
      </x:c>
      <x:c r="E65" s="17"/>
      <x:c r="F65" s="19"/>
      <x:c r="G65" s="19"/>
      <x:c r="H65" s="17"/>
      <x:c r="I65" s="19"/>
      <x:c r="J65" s="19"/>
      <x:c r="K65" s="19"/>
      <x:c r="L65" s="19"/>
      <x:c r="M65" s="14" t="str">
        <x:f>IF(OR(K65="",F65="",F65=0),"",K65/F65)</x:f>
      </x:c>
      <x:c r="N65" s="14" t="str">
        <x:f>IF(OR(I65="",F65="",F65=0),"",I65/F65)</x:f>
      </x:c>
      <x:c r="O65" s="14" t="str">
        <x:f>IF(OR(J65="",F65="",F65=0),"",J65/F65)</x:f>
      </x:c>
      <x:c r="P65" s="14" t="str">
        <x:f>IF(OR(H65="",E65="",E65=0),"",H65/E65)</x:f>
      </x:c>
      <x:c r="Q65" s="14" t="str">
        <x:f>IF(OR(L65="",F65="",F65=0),"",L65/F65)</x:f>
      </x:c>
      <x:c r="R65" s="13" t="str">
        <x:v>Органика</x:v>
      </x:c>
      <x:c r="S65" s="13"/>
    </x:row>
    <x:row r="66" ht="36" customHeight="1">
      <x:c r="A66" s="8" t="n">
        <x:v>30</x:v>
      </x:c>
      <x:c r="B66" s="10" t="n">
        <x:v>46346</x:v>
      </x:c>
      <x:c r="C66" s="8" t="str">
        <x:v>В • Собираем результат</x:v>
      </x:c>
      <x:c r="D66" s="18" t="n">
        <x:v>168</x:v>
      </x:c>
      <x:c r="E66" s="17"/>
      <x:c r="F66" s="19"/>
      <x:c r="G66" s="19"/>
      <x:c r="H66" s="17"/>
      <x:c r="I66" s="19"/>
      <x:c r="J66" s="19"/>
      <x:c r="K66" s="19"/>
      <x:c r="L66" s="19"/>
      <x:c r="M66" s="15" t="str">
        <x:f>IF(OR(K66="",F66="",F66=0),"",K66/F66)</x:f>
      </x:c>
      <x:c r="N66" s="15" t="str">
        <x:f>IF(OR(I66="",F66="",F66=0),"",I66/F66)</x:f>
      </x:c>
      <x:c r="O66" s="15" t="str">
        <x:f>IF(OR(J66="",F66="",F66=0),"",J66/F66)</x:f>
      </x:c>
      <x:c r="P66" s="15" t="str">
        <x:f>IF(OR(H66="",E66="",E66=0),"",H66/E66)</x:f>
      </x:c>
      <x:c r="Q66" s="15" t="str">
        <x:f>IF(OR(L66="",F66="",F66=0),"",L66/F66)</x:f>
      </x:c>
      <x:c r="R66" s="13" t="str">
        <x:v>Органика</x:v>
      </x:c>
      <x:c r="S66" s="13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</x:sheetData>
  <x:dataValidations count="1">
    <x:dataValidation type="list" sqref="R7:R66">
      <x:formula1>"Органика,Trial,Продвижение"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513f11d4e043f0"/>
  </x:tableParts>
</x:worksheet>
</file>